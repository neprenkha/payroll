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USINESSBARU\CHATGPT\PAYROLL\"/>
    </mc:Choice>
  </mc:AlternateContent>
  <xr:revisionPtr revIDLastSave="0" documentId="13_ncr:1_{360D3C13-0EDA-492F-BB0A-1E0D4900D133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01" sheetId="29" r:id="rId1"/>
    <sheet name="02" sheetId="28" r:id="rId2"/>
    <sheet name="03" sheetId="27" r:id="rId3"/>
    <sheet name="04" sheetId="22" r:id="rId4"/>
    <sheet name="05" sheetId="23" r:id="rId5"/>
    <sheet name="06" sheetId="26" r:id="rId6"/>
    <sheet name="07" sheetId="30" r:id="rId7"/>
    <sheet name="08" sheetId="33" r:id="rId8"/>
    <sheet name="09" sheetId="32" r:id="rId9"/>
    <sheet name="10" sheetId="31" r:id="rId10"/>
    <sheet name="11" sheetId="34" r:id="rId11"/>
    <sheet name="12" sheetId="25" r:id="rId12"/>
    <sheet name="YearSummary" sheetId="24" r:id="rId13"/>
    <sheet name="companysettings" sheetId="4" r:id="rId14"/>
    <sheet name="staffsettings" sheetId="14" r:id="rId15"/>
    <sheet name="perkeso" sheetId="6" r:id="rId16"/>
    <sheet name="kwsp" sheetId="7" r:id="rId17"/>
    <sheet name="shifts" sheetId="13" state="hidden" r:id="rId18"/>
    <sheet name="settingsarchive" sheetId="12" state="hidden" r:id="rId19"/>
    <sheet name="rosterpatterns" sheetId="10" state="hidden" r:id="rId20"/>
    <sheet name="rosteroverrides" sheetId="11" state="hidden" r:id="rId21"/>
    <sheet name="holidays" sheetId="5" r:id="rId22"/>
  </sheets>
  <definedNames>
    <definedName name="_xlpm.act" hidden="1" xlm="1">#NAME?</definedName>
    <definedName name="_xlpm.actd" hidden="1" xlm="1">#NAME?</definedName>
    <definedName name="_xlpm.actdur" hidden="1" xlm="1">#NAME?</definedName>
    <definedName name="_xlpm.acth" hidden="1" xlm="1">#NAME?</definedName>
    <definedName name="_xlpm.active" hidden="1" xlm="1">#NAME?</definedName>
    <definedName name="_xlpm.addr_clean" hidden="1" xlm="1">#NAME?</definedName>
    <definedName name="_xlpm.addr_join" hidden="1" xlm="1">#NAME?</definedName>
    <definedName name="_xlpm.addr_line" hidden="1" xlm="1">#NAME?</definedName>
    <definedName name="_xlpm.addr1" hidden="1" xlm="1">#NAME?</definedName>
    <definedName name="_xlpm.addr2" hidden="1" xlm="1">#NAME?</definedName>
    <definedName name="_xlpm.addrC" hidden="1" xlm="1">#NAME?</definedName>
    <definedName name="_xlpm.addrJ" hidden="1" xlm="1">#NAME?</definedName>
    <definedName name="_xlpm.addrL" hidden="1" xlm="1">#NAME?</definedName>
    <definedName name="_xlpm.advAmt" hidden="1" xlm="1">#NAME?</definedName>
    <definedName name="_xlpm.age" hidden="1" xlm="1">#NAME?</definedName>
    <definedName name="_xlpm.att" hidden="1" xlm="1">#NAME?</definedName>
    <definedName name="_xlpm.b" hidden="1" xlm="1">#NAME?</definedName>
    <definedName name="_xlpm.base" hidden="1" xlm="1">#NAME?</definedName>
    <definedName name="_xlpm.basechk" hidden="1" xlm="1">#NAME?</definedName>
    <definedName name="_xlpm.baseHS" hidden="1" xlm="1">#NAME?</definedName>
    <definedName name="_xlpm.basis" hidden="1" xlm="1">#NAME?</definedName>
    <definedName name="_xlpm.bd" hidden="1" xlm="1">#NAME?</definedName>
    <definedName name="_xlpm.bdH" hidden="1" xlm="1">#NAME?</definedName>
    <definedName name="_xlpm.bdRaw" hidden="1" xlm="1">#NAME?</definedName>
    <definedName name="_xlpm.be" hidden="1" xlm="1">#NAME?</definedName>
    <definedName name="_xlpm.brDays" hidden="1" xlm="1">#NAME?</definedName>
    <definedName name="_xlpm.brh" hidden="1" xlm="1">#NAME?</definedName>
    <definedName name="_xlpm.brHours" hidden="1" xlm="1">#NAME?</definedName>
    <definedName name="_xlpm.brk" hidden="1" xlm="1">#NAME?</definedName>
    <definedName name="_xlpm.bs" hidden="1" xlm="1">#NAME?</definedName>
    <definedName name="_xlpm.c" hidden="1" xlm="1">#NAME?</definedName>
    <definedName name="_xlpm.c_icos" hidden="1" xlm="1">#NAME?</definedName>
    <definedName name="_xlpm.c_vals" hidden="1" xlm="1">#NAME?</definedName>
    <definedName name="_xlpm.city" hidden="1" xlm="1">#NAME?</definedName>
    <definedName name="_xlpm.cnt" hidden="1" xlm="1">#NAME?</definedName>
    <definedName name="_xlpm.code" hidden="1" xlm="1">#NAME?</definedName>
    <definedName name="_xlpm.codes" hidden="1" xlm="1">#NAME?</definedName>
    <definedName name="_xlpm.comp" hidden="1" xlm="1">#NAME?</definedName>
    <definedName name="_xlpm.compnm" hidden="1" xlm="1">#NAME?</definedName>
    <definedName name="_xlpm.country" hidden="1" xlm="1">#NAME?</definedName>
    <definedName name="_xlpm.cred" hidden="1" xlm="1">#NAME?</definedName>
    <definedName name="_xlpm.credd" hidden="1" xlm="1">#NAME?</definedName>
    <definedName name="_xlpm.credh" hidden="1" xlm="1">#NAME?</definedName>
    <definedName name="_xlpm.credit" hidden="1" xlm="1">#NAME?</definedName>
    <definedName name="_xlpm.cy" hidden="1" xlm="1">#NAME?</definedName>
    <definedName name="_xlpm.d" hidden="1" xlm="1">#NAME?</definedName>
    <definedName name="_xlpm.dayEq" hidden="1" xlm="1">#NAME?</definedName>
    <definedName name="_xlpm.dayFactor" hidden="1" xlm="1">#NAME?</definedName>
    <definedName name="_xlpm.days" hidden="1" xlm="1">#NAME?</definedName>
    <definedName name="_xlpm.daysCnt" hidden="1" xlm="1">#NAME?</definedName>
    <definedName name="_xlpm.daysWD" hidden="1" xlm="1">#NAME?</definedName>
    <definedName name="_xlpm.daysWDI" hidden="1" xlm="1">#NAME?</definedName>
    <definedName name="_xlpm.dayUnit" hidden="1" xlm="1">#NAME?</definedName>
    <definedName name="_xlpm.delim" hidden="1" xlm="1">#NAME?</definedName>
    <definedName name="_xlpm.dh" hidden="1" xlm="1">#NAME?</definedName>
    <definedName name="_xlpm.disp" hidden="1" xlm="1">#NAME?</definedName>
    <definedName name="_xlpm.dly" hidden="1" xlm="1">#NAME?</definedName>
    <definedName name="_xlpm.dr" hidden="1" xlm="1">#NAME?</definedName>
    <definedName name="_xlpm.dTxt" hidden="1" xlm="1">#NAME?</definedName>
    <definedName name="_xlpm.dur" hidden="1" xlm="1">#NAME?</definedName>
    <definedName name="_xlpm.e" hidden="1" xlm="1">#NAME?</definedName>
    <definedName name="_xlpm.eisAmt" hidden="1" xlm="1">#NAME?</definedName>
    <definedName name="_xlpm.eisOn" hidden="1" xlm="1">#NAME?</definedName>
    <definedName name="_xlpm.elist" hidden="1" xlm="1">#NAME?</definedName>
    <definedName name="_xlpm.empPct" hidden="1" xlm="1">#NAME?</definedName>
    <definedName name="_xlpm.en" hidden="1" xlm="1">#NAME?</definedName>
    <definedName name="_xlpm.ent" hidden="1" xlm="1">#NAME?</definedName>
    <definedName name="_xlpm.eNum" hidden="1" xlm="1">#NAME?</definedName>
    <definedName name="_xlpm.eo" hidden="1" xlm="1">#NAME?</definedName>
    <definedName name="_xlpm.epfEE" hidden="1" xlm="1">#NAME?</definedName>
    <definedName name="_xlpm.epfEEcol" hidden="1" xlm="1">#NAME?</definedName>
    <definedName name="_xlpm.epfMin" hidden="1" xlm="1">#NAME?</definedName>
    <definedName name="_xlpm.epfOn" hidden="1" xlm="1">#NAME?</definedName>
    <definedName name="_xlpm.eRaw" hidden="1" xlm="1">#NAME?</definedName>
    <definedName name="_xlpm.eTxt" hidden="1" xlm="1">#NAME?</definedName>
    <definedName name="_xlpm.expH" hidden="1" xlm="1">#NAME?</definedName>
    <definedName name="_xlpm.fac" hidden="1" xlm="1">#NAME?</definedName>
    <definedName name="_xlpm.fdDailyMask" hidden="1" xlm="1">#NAME?</definedName>
    <definedName name="_xlpm.flags" hidden="1" xlm="1">#NAME?</definedName>
    <definedName name="_xlpm.fri" hidden="1" xlm="1">#NAME?</definedName>
    <definedName name="_xlpm.full" hidden="1" xlm="1">#NAME?</definedName>
    <definedName name="_xlpm.fullH" hidden="1" xlm="1">#NAME?</definedName>
    <definedName name="_xlpm.gap" hidden="1" xlm="1">#NAME?</definedName>
    <definedName name="_xlpm.grp" hidden="1" xlm="1">#NAME?</definedName>
    <definedName name="_xlpm.h" hidden="1" xlm="1">#NAME?</definedName>
    <definedName name="_xlpm.handle" hidden="1" xlm="1">#NAME?</definedName>
    <definedName name="_xlpm.has" hidden="1" xlm="1">#NAME?</definedName>
    <definedName name="_xlpm.hasEO" hidden="1" xlm="1">#NAME?</definedName>
    <definedName name="_xlpm.hasTI" hidden="1" xlm="1">#NAME?</definedName>
    <definedName name="_xlpm.hasTime" hidden="1" xlm="1">#NAME?</definedName>
    <definedName name="_xlpm.hasWD" hidden="1" xlm="1">#NAME?</definedName>
    <definedName name="_xlpm.hasWDI" hidden="1" xlm="1">#NAME?</definedName>
    <definedName name="_xlpm.hd" hidden="1" xlm="1">#NAME?</definedName>
    <definedName name="_xlpm.hdMask" hidden="1" xlm="1">#NAME?</definedName>
    <definedName name="_xlpm.hours" hidden="1" xlm="1">#NAME?</definedName>
    <definedName name="_xlpm.hoursRow" hidden="1" xlm="1">#NAME?</definedName>
    <definedName name="_xlpm.hpd" hidden="1" xlm="1">#NAME?</definedName>
    <definedName name="_xlpm.hpdRaw" hidden="1" xlm="1">#NAME?</definedName>
    <definedName name="_xlpm.hr" hidden="1" xlm="1">#NAME?</definedName>
    <definedName name="_xlpm.hrs" hidden="1" xlm="1">#NAME?</definedName>
    <definedName name="_xlpm.hs" hidden="1" xlm="1">#NAME?</definedName>
    <definedName name="_xlpm.hsD" hidden="1" xlm="1">#NAME?</definedName>
    <definedName name="_xlpm.hsDays" hidden="1" xlm="1">#NAME?</definedName>
    <definedName name="_xlpm.hsH" hidden="1" xlm="1">#NAME?</definedName>
    <definedName name="_xlpm.hsRaw" hidden="1" xlm="1">#NAME?</definedName>
    <definedName name="_xlpm.hTxt" hidden="1" xlm="1">#NAME?</definedName>
    <definedName name="_xlpm.hUnit" hidden="1" xlm="1">#NAME?</definedName>
    <definedName name="_xlpm.hWD" hidden="1" xlm="1">#NAME?</definedName>
    <definedName name="_xlpm.hWDI" hidden="1" xlm="1">#NAME?</definedName>
    <definedName name="_xlpm.icos" hidden="1" xlm="1">#NAME?</definedName>
    <definedName name="_xlpm.idx" hidden="1" xlm="1">#NAME?</definedName>
    <definedName name="_xlpm.In" hidden="1" xlm="1">#NAME?</definedName>
    <definedName name="_xlpm.indDy" hidden="1" xlm="1">#NAME?</definedName>
    <definedName name="_xlpm.indHr" hidden="1" xlm="1">#NAME?</definedName>
    <definedName name="_xlpm.isAbove" hidden="1" xlm="1">#NAME?</definedName>
    <definedName name="_xlpm.isH" hidden="1" xlm="1">#NAME?</definedName>
    <definedName name="_xlpm.isph" hidden="1" xlm="1">#NAME?</definedName>
    <definedName name="_xlpm.isPHbase" hidden="1" xlm="1">#NAME?</definedName>
    <definedName name="_xlpm.isPHpay" hidden="1" xlm="1">#NAME?</definedName>
    <definedName name="_xlpm.isPHprev" hidden="1" xlm="1">#NAME?</definedName>
    <definedName name="_xlpm.isPHrepl" hidden="1" xlm="1">#NAME?</definedName>
    <definedName name="_xlpm.isPHreplMask" hidden="1" xlm="1">#NAME?</definedName>
    <definedName name="_xlpm.isPHtoday" hidden="1" xlm="1">#NAME?</definedName>
    <definedName name="_xlpm.isRest" hidden="1" xlm="1">#NAME?</definedName>
    <definedName name="_xlpm.isWD" hidden="1" xlm="1">#NAME?</definedName>
    <definedName name="_xlpm.isWorkDay" hidden="1" xlm="1">#NAME?</definedName>
    <definedName name="_xlpm.j" hidden="1" xlm="1">#NAME?</definedName>
    <definedName name="_xlpm.kind" hidden="1" xlm="1">#NAME?</definedName>
    <definedName name="_xlpm.L" hidden="1" xlm="1">#NAME?</definedName>
    <definedName name="_xlpm.lab" hidden="1" xlm="1">#NAME?</definedName>
    <definedName name="_xlpm.label" hidden="1" xlm="1">#NAME?</definedName>
    <definedName name="_xlpm.labels" hidden="1" xlm="1">#NAME?</definedName>
    <definedName name="_xlpm.lastOffDOW" hidden="1" xlm="1">#NAME?</definedName>
    <definedName name="_xlpm.lbl" hidden="1" xlm="1">#NAME?</definedName>
    <definedName name="_xlpm.lbls" hidden="1" xlm="1">#NAME?</definedName>
    <definedName name="_xlpm.leaveMask" hidden="1" xlm="1">#NAME?</definedName>
    <definedName name="_xlpm.line3" hidden="1" xlm="1">#NAME?</definedName>
    <definedName name="_xlpm.line4" hidden="1" xlm="1">#NAME?</definedName>
    <definedName name="_xlpm.m" hidden="1" xlm="1">#NAME?</definedName>
    <definedName name="_xlpm.mapC" hidden="1" xlm="1">#NAME?</definedName>
    <definedName name="_xlpm.mask" hidden="1" xlm="1">#NAME?</definedName>
    <definedName name="_xlpm.mn" hidden="1" xlm="1">#NAME?</definedName>
    <definedName name="_xlpm.mon" hidden="1" xlm="1">#NAME?</definedName>
    <definedName name="_xlpm.months" hidden="1" xlm="1">#NAME?</definedName>
    <definedName name="_xlpm.mpwt" hidden="1" xlm="1">#NAME?</definedName>
    <definedName name="_xlpm.msk" hidden="1" xlm="1">#NAME?</definedName>
    <definedName name="_xlpm.N" hidden="1" xlm="1">#NAME?</definedName>
    <definedName name="_xlpm.names" hidden="1" xlm="1">#NAME?</definedName>
    <definedName name="_xlpm.nb" hidden="1" xlm="1">#NAME?</definedName>
    <definedName name="_xlpm.nbe" hidden="1" xlm="1">#NAME?</definedName>
    <definedName name="_xlpm.nbs" hidden="1" xlm="1">#NAME?</definedName>
    <definedName name="_xlpm.neo" hidden="1" xlm="1">#NAME?</definedName>
    <definedName name="_xlpm.nm" hidden="1" xlm="1">#NAME?</definedName>
    <definedName name="_xlpm.nmWD" hidden="1" xlm="1">#NAME?</definedName>
    <definedName name="_xlpm.nmWDI" hidden="1" xlm="1">#NAME?</definedName>
    <definedName name="_xlpm.normH" hidden="1" xlm="1">#NAME?</definedName>
    <definedName name="_xlpm.nrmH" hidden="1" xlm="1">#NAME?</definedName>
    <definedName name="_xlpm.nti" hidden="1" xlm="1">#NAME?</definedName>
    <definedName name="_xlpm.obs" hidden="1" xlm="1">#NAME?</definedName>
    <definedName name="_xlpm.obsFlag" hidden="1" xlm="1">#NAME?</definedName>
    <definedName name="_xlpm.obsPH" hidden="1" xlm="1">#NAME?</definedName>
    <definedName name="_xlpm.off" hidden="1" xlm="1">#NAME?</definedName>
    <definedName name="_xlpm.offD" hidden="1" xlm="1">#NAME?</definedName>
    <definedName name="_xlpm.offDm1" hidden="1" xlm="1">#NAME?</definedName>
    <definedName name="_xlpm.offFri" hidden="1" xlm="1">#NAME?</definedName>
    <definedName name="_xlpm.offMap" hidden="1" xlm="1">#NAME?</definedName>
    <definedName name="_xlpm.offMon" hidden="1" xlm="1">#NAME?</definedName>
    <definedName name="_xlpm.offPm1" hidden="1" xlm="1">#NAME?</definedName>
    <definedName name="_xlpm.offSat" hidden="1" xlm="1">#NAME?</definedName>
    <definedName name="_xlpm.offSun" hidden="1" xlm="1">#NAME?</definedName>
    <definedName name="_xlpm.offT" hidden="1" xlm="1">#NAME?</definedName>
    <definedName name="_xlpm.offThu" hidden="1" xlm="1">#NAME?</definedName>
    <definedName name="_xlpm.offToday" hidden="1" xlm="1">#NAME?</definedName>
    <definedName name="_xlpm.offTodayTxt" hidden="1" xlm="1">#NAME?</definedName>
    <definedName name="_xlpm.offTue" hidden="1" xlm="1">#NAME?</definedName>
    <definedName name="_xlpm.offVec" hidden="1" xlm="1">#NAME?</definedName>
    <definedName name="_xlpm.offWed" hidden="1" xlm="1">#NAME?</definedName>
    <definedName name="_xlpm.offYest" hidden="1" xlm="1">#NAME?</definedName>
    <definedName name="_xlpm.opt" hidden="1" xlm="1">#NAME?</definedName>
    <definedName name="_xlpm.Out" hidden="1" xlm="1">#NAME?</definedName>
    <definedName name="_xlpm.ov" hidden="1" xlm="1">#NAME?</definedName>
    <definedName name="_xlpm.path" hidden="1" xlm="1">#NAME?</definedName>
    <definedName name="_xlpm.pay" hidden="1" xlm="1">#NAME?</definedName>
    <definedName name="_xlpm.ph" hidden="1" xlm="1">#NAME?</definedName>
    <definedName name="_xlpm.phMask" hidden="1" xlm="1">#NAME?</definedName>
    <definedName name="_xlpm.postc" hidden="1" xlm="1">#NAME?</definedName>
    <definedName name="_xlpm.pr" hidden="1" xlm="1">#NAME?</definedName>
    <definedName name="_xlpm.prH" hidden="1" xlm="1">#NAME?</definedName>
    <definedName name="_xlpm.prio" hidden="1" xlm="1">#NAME?</definedName>
    <definedName name="_xlpm.prior" hidden="1" xlm="1">#NAME?</definedName>
    <definedName name="_xlpm.ps" hidden="1" xlm="1">#NAME?</definedName>
    <definedName name="_xlpm.pt" hidden="1" xlm="1">#NAME?</definedName>
    <definedName name="_xlpm.pvals" hidden="1" xlm="1">#NAME?</definedName>
    <definedName name="_xlpm.q" hidden="1" xlm="1">#NAME?</definedName>
    <definedName name="_xlpm.r" hidden="1" xlm="1">#NAME?</definedName>
    <definedName name="_xlpm.rate" hidden="1" xlm="1">#NAME?</definedName>
    <definedName name="_xlpm.ratePerRow" hidden="1" xlm="1">#NAME?</definedName>
    <definedName name="_xlpm.refs" hidden="1" xlm="1">#NAME?</definedName>
    <definedName name="_xlpm.repl" hidden="1" xlm="1">#NAME?</definedName>
    <definedName name="_xlpm.req" hidden="1" xlm="1">#NAME?</definedName>
    <definedName name="_xlpm.reqd" hidden="1" xlm="1">#NAME?</definedName>
    <definedName name="_xlpm.reqd_raw" hidden="1" xlm="1">#NAME?</definedName>
    <definedName name="_xlpm.reqh" hidden="1" xlm="1">#NAME?</definedName>
    <definedName name="_xlpm.reqraw" hidden="1" xlm="1">#NAME?</definedName>
    <definedName name="_xlpm.restDOW" hidden="1" xlm="1">#NAME?</definedName>
    <definedName name="_xlpm.restIdx" hidden="1" xlm="1">#NAME?</definedName>
    <definedName name="_xlpm.restPrev" hidden="1" xlm="1">#NAME?</definedName>
    <definedName name="_xlpm.result" hidden="1" xlm="1">#NAME?</definedName>
    <definedName name="_xlpm.rng" hidden="1" xlm="1">#NAME?</definedName>
    <definedName name="_xlpm.rows" hidden="1" xlm="1">#NAME?</definedName>
    <definedName name="_xlpm.s" hidden="1" xlm="1">#NAME?</definedName>
    <definedName name="_xlpm.s_icos" hidden="1" xlm="1">#NAME?</definedName>
    <definedName name="_xlpm.s_vals" hidden="1" xlm="1">#NAME?</definedName>
    <definedName name="_xlpm.sal" hidden="1" xlm="1">#NAME?</definedName>
    <definedName name="_xlpm.sameAll" hidden="1" xlm="1">#NAME?</definedName>
    <definedName name="_xlpm.sat" hidden="1" xlm="1">#NAME?</definedName>
    <definedName name="_xlpm.secondLastOffDOW" hidden="1" xlm="1">#NAME?</definedName>
    <definedName name="_xlpm.seen" hidden="1" xlm="1">#NAME?</definedName>
    <definedName name="_xlpm.selName" hidden="1" xlm="1">#NAME?</definedName>
    <definedName name="_xlpm.sep" hidden="1" xlm="1">#NAME?</definedName>
    <definedName name="_xlpm.sh" hidden="1" xlm="1">#NAME?</definedName>
    <definedName name="_xlpm.shortd" hidden="1" xlm="1">#NAME?</definedName>
    <definedName name="_xlpm.shortDays" hidden="1" xlm="1">#NAME?</definedName>
    <definedName name="_xlpm.shortH" hidden="1" xlm="1">#NAME?</definedName>
    <definedName name="_xlpm.shortWD" hidden="1" xlm="1">#NAME?</definedName>
    <definedName name="_xlpm.shortWDI" hidden="1" xlm="1">#NAME?</definedName>
    <definedName name="_xlpm.shs" hidden="1" xlm="1">#NAME?</definedName>
    <definedName name="_xlpm.socsoAmt" hidden="1" xlm="1">#NAME?</definedName>
    <definedName name="_xlpm.socsoOn" hidden="1" xlm="1">#NAME?</definedName>
    <definedName name="_xlpm.sorted" hidden="1" xlm="1">#NAME?</definedName>
    <definedName name="_xlpm.sp" hidden="1" xlm="1">#NAME?</definedName>
    <definedName name="_xlpm.srDays" hidden="1" xlm="1">#NAME?</definedName>
    <definedName name="_xlpm.srh" hidden="1" xlm="1">#NAME?</definedName>
    <definedName name="_xlpm.srHours" hidden="1" xlm="1">#NAME?</definedName>
    <definedName name="_xlpm.sS" hidden="1" xlm="1">#NAME?</definedName>
    <definedName name="_xlpm.st" hidden="1" xlm="1">#NAME?</definedName>
    <definedName name="_xlpm.state" hidden="1" xlm="1">#NAME?</definedName>
    <definedName name="_xlpm.status" hidden="1" xlm="1">#NAME?</definedName>
    <definedName name="_xlpm.sumh" hidden="1" xlm="1">#NAME?</definedName>
    <definedName name="_xlpm.sun" hidden="1" xlm="1">#NAME?</definedName>
    <definedName name="_xlpm.t" hidden="1" xlm="1">#NAME?</definedName>
    <definedName name="_xlpm.taken" hidden="1" xlm="1">#NAME?</definedName>
    <definedName name="_xlpm.th" hidden="1" xlm="1">#NAME?</definedName>
    <definedName name="_xlpm.thH" hidden="1" xlm="1">#NAME?</definedName>
    <definedName name="_xlpm.thRaw" hidden="1" xlm="1">#NAME?</definedName>
    <definedName name="_xlpm.thu" hidden="1" xlm="1">#NAME?</definedName>
    <definedName name="_xlpm.ti" hidden="1" xlm="1">#NAME?</definedName>
    <definedName name="_xlpm.tot" hidden="1" xlm="1">#NAME?</definedName>
    <definedName name="_xlpm.total" hidden="1" xlm="1">#NAME?</definedName>
    <definedName name="_xlpm.totalH" hidden="1" xlm="1">#NAME?</definedName>
    <definedName name="_xlpm.totHrs" hidden="1" xlm="1">#NAME?</definedName>
    <definedName name="_xlpm.tue" hidden="1" xlm="1">#NAME?</definedName>
    <definedName name="_xlpm.u" hidden="1" xlm="1">#NAME?</definedName>
    <definedName name="_xlpm.uCnt" hidden="1" xlm="1">#NAME?</definedName>
    <definedName name="_xlpm.usePct" hidden="1" xlm="1">#NAME?</definedName>
    <definedName name="_xlpm.v" hidden="1" xlm="1">#NAME?</definedName>
    <definedName name="_xlpm.vA" hidden="1" xlm="1">#NAME?</definedName>
    <definedName name="_xlpm.val" hidden="1" xlm="1">#NAME?</definedName>
    <definedName name="_xlpm.vals" hidden="1" xlm="1">#NAME?</definedName>
    <definedName name="_xlpm.vD" hidden="1" xlm="1">#NAME?</definedName>
    <definedName name="_xlpm.vG" hidden="1" xlm="1">#NAME?</definedName>
    <definedName name="_xlpm.vJ" hidden="1" xlm="1">#NAME?</definedName>
    <definedName name="_xlpm.vs" hidden="1" xlm="1">#NAME?</definedName>
    <definedName name="_xlpm.w" hidden="1" xlm="1">#NAME?</definedName>
    <definedName name="_xlpm.wd" hidden="1" xlm="1">#NAME?</definedName>
    <definedName name="_xlpm.wdH" hidden="1" xlm="1">#NAME?</definedName>
    <definedName name="_xlpm.wdiH" hidden="1" xlm="1">#NAME?</definedName>
    <definedName name="_xlpm.wdiName" hidden="1" xlm="1">#NAME?</definedName>
    <definedName name="_xlpm.wdName" hidden="1" xlm="1">#NAME?</definedName>
    <definedName name="_xlpm.wdOff" hidden="1" xlm="1">#NAME?</definedName>
    <definedName name="_xlpm.wed" hidden="1" xlm="1">#NAME?</definedName>
    <definedName name="_xlpm.wh" hidden="1" xlm="1">#NAME?</definedName>
    <definedName name="_xlpm.woFlags" hidden="1" xlm="1">#NAME?</definedName>
    <definedName name="_xlpm.workd" hidden="1" xlm="1">#NAME?</definedName>
    <definedName name="_xlpm.workH" hidden="1" xlm="1">#NAME?</definedName>
    <definedName name="_xlpm.workRaw" hidden="1" xlm="1">#NAME?</definedName>
    <definedName name="_xlpm.wpd" hidden="1" xlm="1">#NAME?</definedName>
    <definedName name="_xlpm.wpd_raw" hidden="1" xlm="1">#NAME?</definedName>
    <definedName name="_xlpm.wph" hidden="1" xlm="1">#NAME?</definedName>
    <definedName name="_xlpm.yr" hidden="1" xlm="1">#NAME?</definedName>
    <definedName name="_xlpm.z" hidden="1" xlm="1">#NAME?</definedName>
    <definedName name="_xlpm.zakAmt" hidden="1" xlm="1">#NAME?</definedName>
    <definedName name="_xlpm.zakOn" hidden="1" xlm="1">#NAME?</definedName>
    <definedName name="AttendanceList">staffsettings!$L$6:INDEX(staffsettings!$L:$L, MATCH("zzz", staffsettings!$I:$I))</definedName>
    <definedName name="OTTypeList">OFFSET(staffsettings!$AN$2,0,0,COUNTA(staffsettings!$AM$2:$AM$200),1)</definedName>
    <definedName name="PayStructureList">OFFSET(staffsettings!$T$21,0,0,COUNTA(staffsettings!$T$21:$T$200),1)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4" l="1" a="1"/>
  <c r="J6" i="14"/>
  <c r="T18" i="29" a="1"/>
  <c r="T18" i="29" s="1"/>
  <c r="E32" i="29"/>
  <c r="E31" i="29"/>
  <c r="E30" i="29"/>
  <c r="E29" i="29"/>
  <c r="E28" i="29"/>
  <c r="E25" i="29"/>
  <c r="E24" i="29"/>
  <c r="E23" i="29"/>
  <c r="E22" i="29"/>
  <c r="E21" i="29"/>
  <c r="E18" i="29"/>
  <c r="E17" i="29"/>
  <c r="E16" i="29"/>
  <c r="E15" i="29"/>
  <c r="E14" i="29"/>
  <c r="B32" i="29"/>
  <c r="B31" i="29"/>
  <c r="B30" i="29"/>
  <c r="B29" i="29"/>
  <c r="B28" i="29"/>
  <c r="B25" i="29"/>
  <c r="B24" i="29"/>
  <c r="B23" i="29"/>
  <c r="B22" i="29"/>
  <c r="B21" i="29"/>
  <c r="B18" i="29"/>
  <c r="B17" i="29"/>
  <c r="B16" i="29"/>
  <c r="B15" i="29"/>
  <c r="B14" i="29"/>
  <c r="T11" i="29" a="1"/>
  <c r="T11" i="29" s="1"/>
  <c r="U15" i="29" a="1"/>
  <c r="U15" i="29" s="1"/>
  <c r="P37" i="29"/>
  <c r="B24" i="23"/>
  <c r="B23" i="23"/>
  <c r="B22" i="23"/>
  <c r="B21" i="23"/>
  <c r="B20" i="23"/>
  <c r="B19" i="23"/>
  <c r="B18" i="23"/>
  <c r="B17" i="23"/>
  <c r="D43" i="29"/>
  <c r="P48" i="34"/>
  <c r="O48" i="34"/>
  <c r="P47" i="34"/>
  <c r="O47" i="34"/>
  <c r="P46" i="34"/>
  <c r="O46" i="34"/>
  <c r="P45" i="34"/>
  <c r="O45" i="34"/>
  <c r="P44" i="34"/>
  <c r="O44" i="34"/>
  <c r="P43" i="34"/>
  <c r="J43" i="34"/>
  <c r="F43" i="34"/>
  <c r="U43" i="34" s="1"/>
  <c r="P41" i="34"/>
  <c r="O41" i="34"/>
  <c r="R40" i="34"/>
  <c r="Q40" i="34"/>
  <c r="P40" i="34"/>
  <c r="O40" i="34"/>
  <c r="P39" i="34"/>
  <c r="O39" i="34"/>
  <c r="P38" i="34"/>
  <c r="O38" i="34"/>
  <c r="P37" i="34"/>
  <c r="O37" i="34"/>
  <c r="R36" i="34"/>
  <c r="P36" i="34"/>
  <c r="E33" i="34"/>
  <c r="A33" i="34" a="1"/>
  <c r="A33" i="34" s="1"/>
  <c r="E32" i="34"/>
  <c r="A32" i="34" a="1"/>
  <c r="A32" i="34" s="1"/>
  <c r="E31" i="34"/>
  <c r="A31" i="34" a="1"/>
  <c r="A31" i="34" s="1"/>
  <c r="E30" i="34"/>
  <c r="A30" i="34" a="1"/>
  <c r="A30" i="34" s="1"/>
  <c r="E29" i="34"/>
  <c r="A29" i="34" a="1"/>
  <c r="A29" i="34" s="1"/>
  <c r="E28" i="34"/>
  <c r="A28" i="34" a="1"/>
  <c r="A28" i="34" s="1"/>
  <c r="E27" i="34"/>
  <c r="A27" i="34" a="1"/>
  <c r="A27" i="34" s="1"/>
  <c r="E26" i="34"/>
  <c r="A26" i="34" a="1"/>
  <c r="A26" i="34" s="1"/>
  <c r="E25" i="34"/>
  <c r="A25" i="34" a="1"/>
  <c r="A25" i="34" s="1"/>
  <c r="E24" i="34"/>
  <c r="A24" i="34" a="1"/>
  <c r="A24" i="34" s="1"/>
  <c r="U23" i="34"/>
  <c r="E23" i="34"/>
  <c r="A23" i="34" a="1"/>
  <c r="A23" i="34" s="1"/>
  <c r="E22" i="34"/>
  <c r="A22" i="34" a="1"/>
  <c r="A22" i="34" s="1"/>
  <c r="E21" i="34"/>
  <c r="A21" i="34" a="1"/>
  <c r="A21" i="34" s="1"/>
  <c r="E20" i="34"/>
  <c r="A20" i="34" a="1"/>
  <c r="A20" i="34" s="1"/>
  <c r="E19" i="34"/>
  <c r="A19" i="34" a="1"/>
  <c r="A19" i="34" s="1"/>
  <c r="T18" i="34" a="1"/>
  <c r="E18" i="34"/>
  <c r="A18" i="34" a="1"/>
  <c r="A18" i="34" s="1"/>
  <c r="E17" i="34"/>
  <c r="A17" i="34" a="1"/>
  <c r="A17" i="34" s="1"/>
  <c r="E16" i="34"/>
  <c r="B16" i="34"/>
  <c r="A16" i="34" a="1"/>
  <c r="A16" i="34" s="1"/>
  <c r="E15" i="34"/>
  <c r="B15" i="34"/>
  <c r="A15" i="34" a="1"/>
  <c r="A15" i="34" s="1"/>
  <c r="E14" i="34"/>
  <c r="B14" i="34"/>
  <c r="A14" i="34" a="1"/>
  <c r="A14" i="34" s="1"/>
  <c r="E13" i="34"/>
  <c r="B13" i="34"/>
  <c r="A13" i="34" a="1"/>
  <c r="A13" i="34" s="1"/>
  <c r="E12" i="34"/>
  <c r="B12" i="34"/>
  <c r="A12" i="34" a="1"/>
  <c r="A12" i="34" s="1"/>
  <c r="T11" i="34" a="1"/>
  <c r="T11" i="34" s="1"/>
  <c r="E11" i="34"/>
  <c r="B11" i="34"/>
  <c r="A11" i="34" a="1"/>
  <c r="A11" i="34" s="1"/>
  <c r="E10" i="34"/>
  <c r="B10" i="34"/>
  <c r="A10" i="34" a="1"/>
  <c r="A10" i="34" s="1"/>
  <c r="E9" i="34"/>
  <c r="B9" i="34"/>
  <c r="A9" i="34" a="1"/>
  <c r="A9" i="34" s="1"/>
  <c r="E8" i="34"/>
  <c r="B8" i="34"/>
  <c r="A8" i="34" a="1"/>
  <c r="A8" i="34" s="1"/>
  <c r="E7" i="34"/>
  <c r="B7" i="34"/>
  <c r="A7" i="34" a="1"/>
  <c r="A7" i="34" s="1"/>
  <c r="E6" i="34"/>
  <c r="B6" i="34"/>
  <c r="A6" i="34" a="1"/>
  <c r="A6" i="34" s="1"/>
  <c r="T5" i="34" a="1"/>
  <c r="T5" i="34" s="1"/>
  <c r="E5" i="34"/>
  <c r="B5" i="34"/>
  <c r="A5" i="34" a="1"/>
  <c r="A5" i="34" s="1"/>
  <c r="E4" i="34"/>
  <c r="B4" i="34"/>
  <c r="A4" i="34" a="1"/>
  <c r="A4" i="34" s="1"/>
  <c r="C4" i="34" s="1"/>
  <c r="A3" i="34" a="1"/>
  <c r="A3" i="34" s="1"/>
  <c r="Y2" i="34" a="1"/>
  <c r="Y2" i="34" s="1"/>
  <c r="T2" i="34"/>
  <c r="P48" i="33"/>
  <c r="O48" i="33"/>
  <c r="P47" i="33"/>
  <c r="O47" i="33"/>
  <c r="P46" i="33"/>
  <c r="O46" i="33"/>
  <c r="P45" i="33"/>
  <c r="O45" i="33"/>
  <c r="P44" i="33"/>
  <c r="O44" i="33"/>
  <c r="U43" i="33"/>
  <c r="P43" i="33"/>
  <c r="J43" i="33"/>
  <c r="F43" i="33"/>
  <c r="P41" i="33"/>
  <c r="O41" i="33"/>
  <c r="R40" i="33"/>
  <c r="Q40" i="33"/>
  <c r="P40" i="33"/>
  <c r="O40" i="33"/>
  <c r="P39" i="33"/>
  <c r="O39" i="33"/>
  <c r="P38" i="33"/>
  <c r="O38" i="33"/>
  <c r="P37" i="33"/>
  <c r="O37" i="33"/>
  <c r="R36" i="33"/>
  <c r="P36" i="33"/>
  <c r="E33" i="33"/>
  <c r="A33" i="33" a="1"/>
  <c r="A33" i="33" s="1"/>
  <c r="C33" i="33" s="1"/>
  <c r="E32" i="33"/>
  <c r="A32" i="33" a="1"/>
  <c r="A32" i="33" s="1"/>
  <c r="E31" i="33"/>
  <c r="A31" i="33" a="1"/>
  <c r="A31" i="33" s="1"/>
  <c r="E30" i="33"/>
  <c r="A30" i="33" a="1"/>
  <c r="A30" i="33" s="1"/>
  <c r="E29" i="33"/>
  <c r="A29" i="33" a="1"/>
  <c r="A29" i="33" s="1"/>
  <c r="E28" i="33"/>
  <c r="A28" i="33" a="1"/>
  <c r="A28" i="33" s="1"/>
  <c r="E27" i="33"/>
  <c r="A27" i="33" a="1"/>
  <c r="A27" i="33" s="1"/>
  <c r="E26" i="33"/>
  <c r="A26" i="33" a="1"/>
  <c r="A26" i="33" s="1"/>
  <c r="E25" i="33"/>
  <c r="A25" i="33" a="1"/>
  <c r="A25" i="33" s="1"/>
  <c r="E24" i="33"/>
  <c r="A24" i="33" a="1"/>
  <c r="A24" i="33" s="1"/>
  <c r="U23" i="33"/>
  <c r="E23" i="33"/>
  <c r="A23" i="33" a="1"/>
  <c r="A23" i="33" s="1"/>
  <c r="E22" i="33"/>
  <c r="A22" i="33" a="1"/>
  <c r="A22" i="33" s="1"/>
  <c r="E21" i="33"/>
  <c r="A21" i="33" a="1"/>
  <c r="A21" i="33" s="1"/>
  <c r="D21" i="33" s="1"/>
  <c r="E20" i="33"/>
  <c r="A20" i="33" a="1"/>
  <c r="A20" i="33" s="1"/>
  <c r="E19" i="33"/>
  <c r="A19" i="33" a="1"/>
  <c r="A19" i="33" s="1"/>
  <c r="T18" i="33" a="1"/>
  <c r="E18" i="33"/>
  <c r="A18" i="33" a="1"/>
  <c r="A18" i="33" s="1"/>
  <c r="E17" i="33"/>
  <c r="A17" i="33" a="1"/>
  <c r="A17" i="33" s="1"/>
  <c r="E16" i="33"/>
  <c r="B16" i="33"/>
  <c r="A16" i="33" a="1"/>
  <c r="A16" i="33" s="1"/>
  <c r="E15" i="33"/>
  <c r="B15" i="33"/>
  <c r="A15" i="33" a="1"/>
  <c r="A15" i="33" s="1"/>
  <c r="E14" i="33"/>
  <c r="B14" i="33"/>
  <c r="A14" i="33" a="1"/>
  <c r="A14" i="33" s="1"/>
  <c r="E13" i="33"/>
  <c r="B13" i="33"/>
  <c r="A13" i="33" a="1"/>
  <c r="A13" i="33" s="1"/>
  <c r="E12" i="33"/>
  <c r="B12" i="33"/>
  <c r="A12" i="33" a="1"/>
  <c r="A12" i="33" s="1"/>
  <c r="T11" i="33" a="1"/>
  <c r="T11" i="33" s="1"/>
  <c r="E11" i="33"/>
  <c r="B11" i="33"/>
  <c r="A11" i="33" a="1"/>
  <c r="A11" i="33" s="1"/>
  <c r="E10" i="33"/>
  <c r="B10" i="33"/>
  <c r="A10" i="33" a="1"/>
  <c r="A10" i="33" s="1"/>
  <c r="E9" i="33"/>
  <c r="B9" i="33"/>
  <c r="A9" i="33" a="1"/>
  <c r="A9" i="33" s="1"/>
  <c r="E8" i="33"/>
  <c r="B8" i="33"/>
  <c r="A8" i="33" a="1"/>
  <c r="A8" i="33" s="1"/>
  <c r="E7" i="33"/>
  <c r="B7" i="33"/>
  <c r="A7" i="33" a="1"/>
  <c r="A7" i="33" s="1"/>
  <c r="E6" i="33"/>
  <c r="B6" i="33"/>
  <c r="A6" i="33" a="1"/>
  <c r="A6" i="33" s="1"/>
  <c r="T5" i="33" a="1"/>
  <c r="T5" i="33" s="1"/>
  <c r="E5" i="33"/>
  <c r="B5" i="33"/>
  <c r="A5" i="33" a="1"/>
  <c r="A5" i="33" s="1"/>
  <c r="E4" i="33"/>
  <c r="B4" i="33"/>
  <c r="A4" i="33" a="1"/>
  <c r="A4" i="33" s="1"/>
  <c r="A3" i="33" a="1"/>
  <c r="A3" i="33" s="1"/>
  <c r="Y2" i="33" a="1"/>
  <c r="Y2" i="33" s="1"/>
  <c r="T2" i="33"/>
  <c r="P48" i="32"/>
  <c r="O48" i="32"/>
  <c r="P47" i="32"/>
  <c r="O47" i="32"/>
  <c r="P46" i="32"/>
  <c r="O46" i="32"/>
  <c r="P45" i="32"/>
  <c r="O45" i="32"/>
  <c r="P44" i="32"/>
  <c r="O44" i="32"/>
  <c r="U43" i="32"/>
  <c r="P43" i="32"/>
  <c r="J43" i="32"/>
  <c r="F43" i="32"/>
  <c r="P41" i="32"/>
  <c r="O41" i="32"/>
  <c r="R40" i="32"/>
  <c r="Q40" i="32"/>
  <c r="P40" i="32"/>
  <c r="O40" i="32"/>
  <c r="P39" i="32"/>
  <c r="O39" i="32"/>
  <c r="P38" i="32"/>
  <c r="O38" i="32"/>
  <c r="P37" i="32"/>
  <c r="O37" i="32"/>
  <c r="R36" i="32"/>
  <c r="P36" i="32"/>
  <c r="E33" i="32"/>
  <c r="A33" i="32" a="1"/>
  <c r="A33" i="32" s="1"/>
  <c r="D33" i="32" s="1"/>
  <c r="E32" i="32"/>
  <c r="A32" i="32" a="1"/>
  <c r="A32" i="32" s="1"/>
  <c r="E31" i="32"/>
  <c r="A31" i="32" a="1"/>
  <c r="A31" i="32" s="1"/>
  <c r="E30" i="32"/>
  <c r="A30" i="32" a="1"/>
  <c r="A30" i="32" s="1"/>
  <c r="E29" i="32"/>
  <c r="A29" i="32" a="1"/>
  <c r="A29" i="32" s="1"/>
  <c r="E28" i="32"/>
  <c r="A28" i="32" a="1"/>
  <c r="A28" i="32" s="1"/>
  <c r="E27" i="32"/>
  <c r="A27" i="32" a="1"/>
  <c r="A27" i="32" s="1"/>
  <c r="E26" i="32"/>
  <c r="A26" i="32" a="1"/>
  <c r="A26" i="32" s="1"/>
  <c r="E25" i="32"/>
  <c r="A25" i="32" a="1"/>
  <c r="A25" i="32" s="1"/>
  <c r="E24" i="32"/>
  <c r="A24" i="32" a="1"/>
  <c r="A24" i="32" s="1"/>
  <c r="U23" i="32"/>
  <c r="E23" i="32"/>
  <c r="A23" i="32" a="1"/>
  <c r="A23" i="32" s="1"/>
  <c r="E22" i="32"/>
  <c r="A22" i="32" a="1"/>
  <c r="A22" i="32" s="1"/>
  <c r="E21" i="32"/>
  <c r="A21" i="32" a="1"/>
  <c r="A21" i="32" s="1"/>
  <c r="E20" i="32"/>
  <c r="A20" i="32" a="1"/>
  <c r="A20" i="32" s="1"/>
  <c r="E19" i="32"/>
  <c r="A19" i="32" a="1"/>
  <c r="A19" i="32" s="1"/>
  <c r="T18" i="32" a="1"/>
  <c r="E18" i="32"/>
  <c r="A18" i="32" a="1"/>
  <c r="A18" i="32" s="1"/>
  <c r="E17" i="32"/>
  <c r="A17" i="32" a="1"/>
  <c r="A17" i="32" s="1"/>
  <c r="E16" i="32"/>
  <c r="B16" i="32"/>
  <c r="A16" i="32" a="1"/>
  <c r="A16" i="32" s="1"/>
  <c r="E15" i="32"/>
  <c r="B15" i="32"/>
  <c r="A15" i="32" a="1"/>
  <c r="A15" i="32" s="1"/>
  <c r="E14" i="32"/>
  <c r="B14" i="32"/>
  <c r="A14" i="32" a="1"/>
  <c r="A14" i="32" s="1"/>
  <c r="E13" i="32"/>
  <c r="B13" i="32"/>
  <c r="A13" i="32" a="1"/>
  <c r="A13" i="32" s="1"/>
  <c r="E12" i="32"/>
  <c r="B12" i="32"/>
  <c r="A12" i="32" a="1"/>
  <c r="A12" i="32" s="1"/>
  <c r="T11" i="32" a="1"/>
  <c r="T11" i="32" s="1"/>
  <c r="E11" i="32"/>
  <c r="B11" i="32"/>
  <c r="A11" i="32" a="1"/>
  <c r="A11" i="32" s="1"/>
  <c r="E10" i="32"/>
  <c r="B10" i="32"/>
  <c r="A10" i="32" a="1"/>
  <c r="A10" i="32" s="1"/>
  <c r="E9" i="32"/>
  <c r="B9" i="32"/>
  <c r="A9" i="32" a="1"/>
  <c r="A9" i="32" s="1"/>
  <c r="E8" i="32"/>
  <c r="B8" i="32"/>
  <c r="A8" i="32" a="1"/>
  <c r="A8" i="32" s="1"/>
  <c r="E7" i="32"/>
  <c r="B7" i="32"/>
  <c r="A7" i="32" a="1"/>
  <c r="A7" i="32" s="1"/>
  <c r="E6" i="32"/>
  <c r="B6" i="32"/>
  <c r="A6" i="32" a="1"/>
  <c r="A6" i="32" s="1"/>
  <c r="T5" i="32" a="1"/>
  <c r="T5" i="32" s="1"/>
  <c r="E5" i="32"/>
  <c r="B5" i="32"/>
  <c r="A5" i="32" a="1"/>
  <c r="A5" i="32" s="1"/>
  <c r="E4" i="32"/>
  <c r="B4" i="32"/>
  <c r="A4" i="32" a="1"/>
  <c r="A4" i="32" s="1"/>
  <c r="A3" i="32" a="1"/>
  <c r="A3" i="32" s="1"/>
  <c r="Y2" i="32" a="1"/>
  <c r="Y2" i="32" s="1"/>
  <c r="T2" i="32"/>
  <c r="P48" i="31"/>
  <c r="O48" i="31"/>
  <c r="P47" i="31"/>
  <c r="O47" i="31"/>
  <c r="P46" i="31"/>
  <c r="O46" i="31"/>
  <c r="P45" i="31"/>
  <c r="O45" i="31"/>
  <c r="P44" i="31"/>
  <c r="O44" i="31"/>
  <c r="U43" i="31"/>
  <c r="P43" i="31"/>
  <c r="J43" i="31"/>
  <c r="F43" i="31"/>
  <c r="P41" i="31"/>
  <c r="O41" i="31"/>
  <c r="R40" i="31"/>
  <c r="Q40" i="31"/>
  <c r="P40" i="31"/>
  <c r="O40" i="31"/>
  <c r="P39" i="31"/>
  <c r="O39" i="31"/>
  <c r="P38" i="31"/>
  <c r="O38" i="31"/>
  <c r="P37" i="31"/>
  <c r="O37" i="31"/>
  <c r="R36" i="31"/>
  <c r="P36" i="31"/>
  <c r="E33" i="31"/>
  <c r="A33" i="31" a="1"/>
  <c r="A33" i="31" s="1"/>
  <c r="E32" i="31"/>
  <c r="A32" i="31" a="1"/>
  <c r="A32" i="31" s="1"/>
  <c r="E31" i="31"/>
  <c r="A31" i="31" a="1"/>
  <c r="A31" i="31" s="1"/>
  <c r="E30" i="31"/>
  <c r="A30" i="31" a="1"/>
  <c r="A30" i="31" s="1"/>
  <c r="E29" i="31"/>
  <c r="A29" i="31" a="1"/>
  <c r="A29" i="31" s="1"/>
  <c r="E28" i="31"/>
  <c r="A28" i="31" a="1"/>
  <c r="A28" i="31" s="1"/>
  <c r="E27" i="31"/>
  <c r="A27" i="31" a="1"/>
  <c r="A27" i="31" s="1"/>
  <c r="E26" i="31"/>
  <c r="A26" i="31" a="1"/>
  <c r="A26" i="31" s="1"/>
  <c r="E25" i="31"/>
  <c r="A25" i="31" a="1"/>
  <c r="A25" i="31" s="1"/>
  <c r="E24" i="31"/>
  <c r="A24" i="31" a="1"/>
  <c r="A24" i="31" s="1"/>
  <c r="U23" i="31"/>
  <c r="E23" i="31"/>
  <c r="A23" i="31" a="1"/>
  <c r="A23" i="31" s="1"/>
  <c r="E22" i="31"/>
  <c r="A22" i="31" a="1"/>
  <c r="A22" i="31" s="1"/>
  <c r="E21" i="31"/>
  <c r="A21" i="31" a="1"/>
  <c r="A21" i="31" s="1"/>
  <c r="E20" i="31"/>
  <c r="A20" i="31" a="1"/>
  <c r="A20" i="31" s="1"/>
  <c r="E19" i="31"/>
  <c r="A19" i="31" a="1"/>
  <c r="A19" i="31" s="1"/>
  <c r="T18" i="31" a="1"/>
  <c r="E18" i="31"/>
  <c r="A18" i="31" a="1"/>
  <c r="A18" i="31" s="1"/>
  <c r="E17" i="31"/>
  <c r="A17" i="31" a="1"/>
  <c r="A17" i="31" s="1"/>
  <c r="E16" i="31"/>
  <c r="B16" i="31"/>
  <c r="A16" i="31" a="1"/>
  <c r="A16" i="31" s="1"/>
  <c r="E15" i="31"/>
  <c r="B15" i="31"/>
  <c r="A15" i="31" a="1"/>
  <c r="A15" i="31" s="1"/>
  <c r="E14" i="31"/>
  <c r="B14" i="31"/>
  <c r="A14" i="31" a="1"/>
  <c r="A14" i="31" s="1"/>
  <c r="E13" i="31"/>
  <c r="B13" i="31"/>
  <c r="A13" i="31" a="1"/>
  <c r="A13" i="31" s="1"/>
  <c r="E12" i="31"/>
  <c r="B12" i="31"/>
  <c r="A12" i="31" a="1"/>
  <c r="A12" i="31" s="1"/>
  <c r="T11" i="31" a="1"/>
  <c r="T11" i="31" s="1"/>
  <c r="E11" i="31"/>
  <c r="B11" i="31"/>
  <c r="A11" i="31" a="1"/>
  <c r="A11" i="31" s="1"/>
  <c r="E10" i="31"/>
  <c r="B10" i="31"/>
  <c r="A10" i="31" a="1"/>
  <c r="A10" i="31" s="1"/>
  <c r="E9" i="31"/>
  <c r="B9" i="31"/>
  <c r="A9" i="31" a="1"/>
  <c r="A9" i="31" s="1"/>
  <c r="E8" i="31"/>
  <c r="B8" i="31"/>
  <c r="A8" i="31" a="1"/>
  <c r="A8" i="31" s="1"/>
  <c r="E7" i="31"/>
  <c r="B7" i="31"/>
  <c r="A7" i="31" a="1"/>
  <c r="A7" i="31" s="1"/>
  <c r="C7" i="31" s="1"/>
  <c r="E6" i="31"/>
  <c r="B6" i="31"/>
  <c r="A6" i="31" a="1"/>
  <c r="A6" i="31" s="1"/>
  <c r="T5" i="31" a="1"/>
  <c r="T5" i="31" s="1"/>
  <c r="E5" i="31"/>
  <c r="B5" i="31"/>
  <c r="A5" i="31" a="1"/>
  <c r="A5" i="31" s="1"/>
  <c r="E4" i="31"/>
  <c r="B4" i="31"/>
  <c r="A4" i="31" a="1"/>
  <c r="A4" i="31" s="1"/>
  <c r="C4" i="31" s="1"/>
  <c r="A3" i="31" a="1"/>
  <c r="A3" i="31" s="1"/>
  <c r="Y2" i="31" a="1"/>
  <c r="Y2" i="31" s="1"/>
  <c r="T2" i="31"/>
  <c r="P48" i="30"/>
  <c r="O48" i="30"/>
  <c r="P47" i="30"/>
  <c r="O47" i="30"/>
  <c r="P46" i="30"/>
  <c r="O46" i="30"/>
  <c r="P45" i="30"/>
  <c r="O45" i="30"/>
  <c r="P44" i="30"/>
  <c r="O44" i="30"/>
  <c r="U43" i="30"/>
  <c r="P43" i="30"/>
  <c r="J43" i="30"/>
  <c r="F43" i="30"/>
  <c r="P41" i="30"/>
  <c r="O41" i="30"/>
  <c r="R40" i="30"/>
  <c r="Q40" i="30"/>
  <c r="P40" i="30"/>
  <c r="O40" i="30"/>
  <c r="P39" i="30"/>
  <c r="O39" i="30"/>
  <c r="P38" i="30"/>
  <c r="O38" i="30"/>
  <c r="P37" i="30"/>
  <c r="O37" i="30"/>
  <c r="R36" i="30"/>
  <c r="P36" i="30"/>
  <c r="E33" i="30"/>
  <c r="A33" i="30" a="1"/>
  <c r="A33" i="30" s="1"/>
  <c r="C33" i="30" s="1"/>
  <c r="E32" i="30"/>
  <c r="A32" i="30" a="1"/>
  <c r="A32" i="30" s="1"/>
  <c r="E31" i="30"/>
  <c r="A31" i="30" a="1"/>
  <c r="A31" i="30" s="1"/>
  <c r="E30" i="30"/>
  <c r="A30" i="30" a="1"/>
  <c r="A30" i="30" s="1"/>
  <c r="E29" i="30"/>
  <c r="A29" i="30" a="1"/>
  <c r="A29" i="30" s="1"/>
  <c r="E28" i="30"/>
  <c r="A28" i="30" a="1"/>
  <c r="A28" i="30" s="1"/>
  <c r="E27" i="30"/>
  <c r="A27" i="30" a="1"/>
  <c r="A27" i="30" s="1"/>
  <c r="E26" i="30"/>
  <c r="A26" i="30" a="1"/>
  <c r="A26" i="30" s="1"/>
  <c r="E25" i="30"/>
  <c r="A25" i="30" a="1"/>
  <c r="A25" i="30" s="1"/>
  <c r="E24" i="30"/>
  <c r="A24" i="30" a="1"/>
  <c r="A24" i="30" s="1"/>
  <c r="U23" i="30"/>
  <c r="E23" i="30"/>
  <c r="A23" i="30" a="1"/>
  <c r="A23" i="30" s="1"/>
  <c r="E22" i="30"/>
  <c r="A22" i="30" a="1"/>
  <c r="A22" i="30" s="1"/>
  <c r="E21" i="30"/>
  <c r="A21" i="30" a="1"/>
  <c r="A21" i="30" s="1"/>
  <c r="E20" i="30"/>
  <c r="A20" i="30" a="1"/>
  <c r="A20" i="30" s="1"/>
  <c r="E19" i="30"/>
  <c r="A19" i="30" a="1"/>
  <c r="A19" i="30" s="1"/>
  <c r="T18" i="30" a="1"/>
  <c r="E18" i="30"/>
  <c r="A18" i="30" a="1"/>
  <c r="A18" i="30" s="1"/>
  <c r="E17" i="30"/>
  <c r="A17" i="30" a="1"/>
  <c r="A17" i="30" s="1"/>
  <c r="E16" i="30"/>
  <c r="B16" i="30"/>
  <c r="A16" i="30" a="1"/>
  <c r="A16" i="30" s="1"/>
  <c r="E15" i="30"/>
  <c r="B15" i="30"/>
  <c r="A15" i="30" a="1"/>
  <c r="A15" i="30" s="1"/>
  <c r="E14" i="30"/>
  <c r="B14" i="30"/>
  <c r="A14" i="30" a="1"/>
  <c r="A14" i="30" s="1"/>
  <c r="E13" i="30"/>
  <c r="B13" i="30"/>
  <c r="A13" i="30" a="1"/>
  <c r="A13" i="30" s="1"/>
  <c r="E12" i="30"/>
  <c r="B12" i="30"/>
  <c r="A12" i="30" a="1"/>
  <c r="A12" i="30" s="1"/>
  <c r="T11" i="30" a="1"/>
  <c r="T11" i="30" s="1"/>
  <c r="E11" i="30"/>
  <c r="B11" i="30"/>
  <c r="A11" i="30" a="1"/>
  <c r="A11" i="30" s="1"/>
  <c r="E10" i="30"/>
  <c r="B10" i="30"/>
  <c r="A10" i="30" a="1"/>
  <c r="A10" i="30" s="1"/>
  <c r="E9" i="30"/>
  <c r="B9" i="30"/>
  <c r="A9" i="30" a="1"/>
  <c r="A9" i="30" s="1"/>
  <c r="E8" i="30"/>
  <c r="B8" i="30"/>
  <c r="A8" i="30" a="1"/>
  <c r="A8" i="30" s="1"/>
  <c r="E7" i="30"/>
  <c r="B7" i="30"/>
  <c r="A7" i="30" a="1"/>
  <c r="A7" i="30" s="1"/>
  <c r="E6" i="30"/>
  <c r="B6" i="30"/>
  <c r="A6" i="30" a="1"/>
  <c r="A6" i="30" s="1"/>
  <c r="T5" i="30" a="1"/>
  <c r="T5" i="30" s="1"/>
  <c r="E5" i="30"/>
  <c r="B5" i="30"/>
  <c r="A5" i="30" a="1"/>
  <c r="A5" i="30" s="1"/>
  <c r="E4" i="30"/>
  <c r="B4" i="30"/>
  <c r="A4" i="30" a="1"/>
  <c r="A4" i="30" s="1"/>
  <c r="A3" i="30" a="1"/>
  <c r="A3" i="30" s="1"/>
  <c r="Y2" i="30" a="1"/>
  <c r="Y2" i="30" s="1"/>
  <c r="T2" i="30"/>
  <c r="P48" i="29"/>
  <c r="O48" i="29"/>
  <c r="P47" i="29"/>
  <c r="O47" i="29"/>
  <c r="P46" i="29"/>
  <c r="O46" i="29"/>
  <c r="P45" i="29"/>
  <c r="O45" i="29"/>
  <c r="P44" i="29"/>
  <c r="O44" i="29"/>
  <c r="U43" i="29"/>
  <c r="P43" i="29"/>
  <c r="E43" i="29"/>
  <c r="P41" i="29"/>
  <c r="O41" i="29"/>
  <c r="R40" i="29"/>
  <c r="Q40" i="29"/>
  <c r="P40" i="29"/>
  <c r="O40" i="29"/>
  <c r="P39" i="29"/>
  <c r="O39" i="29"/>
  <c r="P38" i="29"/>
  <c r="O38" i="29"/>
  <c r="O37" i="29"/>
  <c r="R36" i="29"/>
  <c r="P36" i="29"/>
  <c r="A33" i="29" a="1"/>
  <c r="A33" i="29" s="1"/>
  <c r="A32" i="29" a="1"/>
  <c r="A32" i="29" s="1"/>
  <c r="A31" i="29" a="1"/>
  <c r="A31" i="29" s="1"/>
  <c r="A30" i="29" a="1"/>
  <c r="A30" i="29" s="1"/>
  <c r="A29" i="29" a="1"/>
  <c r="A29" i="29" s="1"/>
  <c r="A28" i="29" a="1"/>
  <c r="A28" i="29" s="1"/>
  <c r="A27" i="29" a="1"/>
  <c r="A27" i="29" s="1"/>
  <c r="A26" i="29" a="1"/>
  <c r="A26" i="29" s="1"/>
  <c r="A25" i="29" a="1"/>
  <c r="A25" i="29" s="1"/>
  <c r="A24" i="29" a="1"/>
  <c r="A24" i="29" s="1"/>
  <c r="U23" i="29"/>
  <c r="A23" i="29" a="1"/>
  <c r="A23" i="29" s="1"/>
  <c r="A22" i="29" a="1"/>
  <c r="A22" i="29" s="1"/>
  <c r="A21" i="29" a="1"/>
  <c r="A21" i="29" s="1"/>
  <c r="D21" i="29" s="1"/>
  <c r="A20" i="29" a="1"/>
  <c r="A20" i="29" s="1"/>
  <c r="A19" i="29" a="1"/>
  <c r="A19" i="29" s="1"/>
  <c r="A18" i="29" a="1"/>
  <c r="A18" i="29" s="1"/>
  <c r="A17" i="29" a="1"/>
  <c r="A17" i="29" s="1"/>
  <c r="A16" i="29" a="1"/>
  <c r="A16" i="29" s="1"/>
  <c r="A15" i="29" a="1"/>
  <c r="A15" i="29" s="1"/>
  <c r="A14" i="29" a="1"/>
  <c r="A14" i="29" s="1"/>
  <c r="A13" i="29" a="1"/>
  <c r="A13" i="29" s="1"/>
  <c r="A12" i="29" a="1"/>
  <c r="A12" i="29" s="1"/>
  <c r="E11" i="29"/>
  <c r="B11" i="29"/>
  <c r="A11" i="29" a="1"/>
  <c r="A11" i="29" s="1"/>
  <c r="E10" i="29"/>
  <c r="B10" i="29"/>
  <c r="A10" i="29" a="1"/>
  <c r="A10" i="29" s="1"/>
  <c r="C10" i="29" s="1"/>
  <c r="E9" i="29"/>
  <c r="B9" i="29"/>
  <c r="A9" i="29" a="1"/>
  <c r="A9" i="29" s="1"/>
  <c r="E8" i="29"/>
  <c r="B8" i="29"/>
  <c r="A8" i="29" a="1"/>
  <c r="A8" i="29" s="1"/>
  <c r="E7" i="29"/>
  <c r="B7" i="29"/>
  <c r="A7" i="29" a="1"/>
  <c r="A7" i="29" s="1"/>
  <c r="A6" i="29" a="1"/>
  <c r="A6" i="29" s="1"/>
  <c r="T5" i="29" a="1"/>
  <c r="T5" i="29" s="1"/>
  <c r="A5" i="29" a="1"/>
  <c r="A5" i="29" s="1"/>
  <c r="E4" i="29"/>
  <c r="B4" i="29"/>
  <c r="A4" i="29" a="1"/>
  <c r="A4" i="29" s="1"/>
  <c r="A3" i="29" a="1"/>
  <c r="A3" i="29" s="1"/>
  <c r="Y2" i="29" a="1"/>
  <c r="Y2" i="29" s="1"/>
  <c r="T2" i="29"/>
  <c r="P48" i="28"/>
  <c r="O48" i="28"/>
  <c r="P47" i="28"/>
  <c r="O47" i="28"/>
  <c r="P46" i="28"/>
  <c r="O46" i="28"/>
  <c r="P45" i="28"/>
  <c r="O45" i="28"/>
  <c r="P44" i="28"/>
  <c r="O44" i="28"/>
  <c r="U43" i="28"/>
  <c r="P43" i="28"/>
  <c r="J43" i="28"/>
  <c r="F43" i="28"/>
  <c r="P41" i="28"/>
  <c r="O41" i="28"/>
  <c r="R40" i="28"/>
  <c r="Q40" i="28"/>
  <c r="P40" i="28"/>
  <c r="O40" i="28"/>
  <c r="P39" i="28"/>
  <c r="O39" i="28"/>
  <c r="P38" i="28"/>
  <c r="O38" i="28"/>
  <c r="P37" i="28"/>
  <c r="O37" i="28"/>
  <c r="R36" i="28"/>
  <c r="P36" i="28"/>
  <c r="E33" i="28"/>
  <c r="A33" i="28" a="1"/>
  <c r="A33" i="28" s="1"/>
  <c r="E32" i="28"/>
  <c r="A32" i="28" a="1"/>
  <c r="A32" i="28" s="1"/>
  <c r="E31" i="28"/>
  <c r="A31" i="28" a="1"/>
  <c r="A31" i="28" s="1"/>
  <c r="E30" i="28"/>
  <c r="A30" i="28" a="1"/>
  <c r="A30" i="28" s="1"/>
  <c r="E29" i="28"/>
  <c r="A29" i="28" a="1"/>
  <c r="A29" i="28" s="1"/>
  <c r="E28" i="28"/>
  <c r="A28" i="28" a="1"/>
  <c r="A28" i="28" s="1"/>
  <c r="E27" i="28"/>
  <c r="A27" i="28" a="1"/>
  <c r="A27" i="28" s="1"/>
  <c r="E26" i="28"/>
  <c r="A26" i="28" a="1"/>
  <c r="A26" i="28" s="1"/>
  <c r="E25" i="28"/>
  <c r="A25" i="28" a="1"/>
  <c r="A25" i="28" s="1"/>
  <c r="E24" i="28"/>
  <c r="A24" i="28" a="1"/>
  <c r="A24" i="28" s="1"/>
  <c r="U23" i="28"/>
  <c r="E23" i="28"/>
  <c r="A23" i="28" a="1"/>
  <c r="A23" i="28" s="1"/>
  <c r="E22" i="28"/>
  <c r="A22" i="28" a="1"/>
  <c r="A22" i="28" s="1"/>
  <c r="E21" i="28"/>
  <c r="A21" i="28" a="1"/>
  <c r="A21" i="28" s="1"/>
  <c r="C21" i="28" s="1"/>
  <c r="E20" i="28"/>
  <c r="A20" i="28" a="1"/>
  <c r="A20" i="28" s="1"/>
  <c r="E19" i="28"/>
  <c r="A19" i="28" a="1"/>
  <c r="A19" i="28" s="1"/>
  <c r="T18" i="28" a="1"/>
  <c r="E18" i="28"/>
  <c r="A18" i="28" a="1"/>
  <c r="A18" i="28" s="1"/>
  <c r="E17" i="28"/>
  <c r="A17" i="28" a="1"/>
  <c r="A17" i="28" s="1"/>
  <c r="E16" i="28"/>
  <c r="B16" i="28"/>
  <c r="A16" i="28" a="1"/>
  <c r="A16" i="28" s="1"/>
  <c r="E15" i="28"/>
  <c r="B15" i="28"/>
  <c r="A15" i="28" a="1"/>
  <c r="A15" i="28" s="1"/>
  <c r="E14" i="28"/>
  <c r="B14" i="28"/>
  <c r="A14" i="28" a="1"/>
  <c r="A14" i="28" s="1"/>
  <c r="E13" i="28"/>
  <c r="B13" i="28"/>
  <c r="A13" i="28" a="1"/>
  <c r="A13" i="28" s="1"/>
  <c r="E12" i="28"/>
  <c r="B12" i="28"/>
  <c r="A12" i="28" a="1"/>
  <c r="A12" i="28" s="1"/>
  <c r="T11" i="28" a="1"/>
  <c r="T11" i="28" s="1"/>
  <c r="E11" i="28"/>
  <c r="B11" i="28"/>
  <c r="A11" i="28" a="1"/>
  <c r="A11" i="28" s="1"/>
  <c r="E10" i="28"/>
  <c r="B10" i="28"/>
  <c r="A10" i="28" a="1"/>
  <c r="A10" i="28" s="1"/>
  <c r="E9" i="28"/>
  <c r="B9" i="28"/>
  <c r="A9" i="28" a="1"/>
  <c r="A9" i="28" s="1"/>
  <c r="E8" i="28"/>
  <c r="B8" i="28"/>
  <c r="A8" i="28" a="1"/>
  <c r="A8" i="28" s="1"/>
  <c r="E7" i="28"/>
  <c r="B7" i="28"/>
  <c r="A7" i="28" a="1"/>
  <c r="A7" i="28" s="1"/>
  <c r="E6" i="28"/>
  <c r="B6" i="28"/>
  <c r="A6" i="28" a="1"/>
  <c r="A6" i="28" s="1"/>
  <c r="T5" i="28" a="1"/>
  <c r="T5" i="28" s="1"/>
  <c r="E5" i="28"/>
  <c r="B5" i="28"/>
  <c r="A5" i="28" a="1"/>
  <c r="A5" i="28" s="1"/>
  <c r="E4" i="28"/>
  <c r="B4" i="28"/>
  <c r="A4" i="28" a="1"/>
  <c r="A4" i="28" s="1"/>
  <c r="A3" i="28" a="1"/>
  <c r="A3" i="28" s="1"/>
  <c r="Y2" i="28" a="1"/>
  <c r="Y2" i="28" s="1"/>
  <c r="T2" i="28"/>
  <c r="P48" i="27"/>
  <c r="O48" i="27"/>
  <c r="P47" i="27"/>
  <c r="O47" i="27"/>
  <c r="P46" i="27"/>
  <c r="O46" i="27"/>
  <c r="P45" i="27"/>
  <c r="O45" i="27"/>
  <c r="P44" i="27"/>
  <c r="O44" i="27"/>
  <c r="U43" i="27"/>
  <c r="P43" i="27"/>
  <c r="J43" i="27"/>
  <c r="F43" i="27"/>
  <c r="P41" i="27"/>
  <c r="O41" i="27"/>
  <c r="R40" i="27"/>
  <c r="Q40" i="27"/>
  <c r="P40" i="27"/>
  <c r="O40" i="27"/>
  <c r="P39" i="27"/>
  <c r="O39" i="27"/>
  <c r="P38" i="27"/>
  <c r="O38" i="27"/>
  <c r="P37" i="27"/>
  <c r="O37" i="27"/>
  <c r="R36" i="27"/>
  <c r="P36" i="27"/>
  <c r="E33" i="27"/>
  <c r="A33" i="27" a="1"/>
  <c r="A33" i="27" s="1"/>
  <c r="E32" i="27"/>
  <c r="A32" i="27" a="1"/>
  <c r="A32" i="27" s="1"/>
  <c r="E31" i="27"/>
  <c r="A31" i="27" a="1"/>
  <c r="A31" i="27" s="1"/>
  <c r="E30" i="27"/>
  <c r="A30" i="27" a="1"/>
  <c r="A30" i="27" s="1"/>
  <c r="E29" i="27"/>
  <c r="A29" i="27" a="1"/>
  <c r="A29" i="27" s="1"/>
  <c r="E28" i="27"/>
  <c r="A28" i="27" a="1"/>
  <c r="A28" i="27" s="1"/>
  <c r="E27" i="27"/>
  <c r="A27" i="27" a="1"/>
  <c r="A27" i="27" s="1"/>
  <c r="E26" i="27"/>
  <c r="A26" i="27" a="1"/>
  <c r="A26" i="27" s="1"/>
  <c r="E25" i="27"/>
  <c r="A25" i="27" a="1"/>
  <c r="A25" i="27" s="1"/>
  <c r="E24" i="27"/>
  <c r="A24" i="27" a="1"/>
  <c r="A24" i="27" s="1"/>
  <c r="U23" i="27"/>
  <c r="E23" i="27"/>
  <c r="A23" i="27" a="1"/>
  <c r="A23" i="27" s="1"/>
  <c r="E22" i="27"/>
  <c r="A22" i="27" a="1"/>
  <c r="A22" i="27" s="1"/>
  <c r="E21" i="27"/>
  <c r="A21" i="27" a="1"/>
  <c r="A21" i="27" s="1"/>
  <c r="D21" i="27" s="1"/>
  <c r="E20" i="27"/>
  <c r="A20" i="27" a="1"/>
  <c r="A20" i="27" s="1"/>
  <c r="E19" i="27"/>
  <c r="A19" i="27" a="1"/>
  <c r="A19" i="27" s="1"/>
  <c r="T18" i="27" a="1"/>
  <c r="E18" i="27"/>
  <c r="A18" i="27" a="1"/>
  <c r="A18" i="27" s="1"/>
  <c r="E17" i="27"/>
  <c r="A17" i="27" a="1"/>
  <c r="A17" i="27" s="1"/>
  <c r="E16" i="27"/>
  <c r="B16" i="27"/>
  <c r="A16" i="27" a="1"/>
  <c r="A16" i="27" s="1"/>
  <c r="E15" i="27"/>
  <c r="B15" i="27"/>
  <c r="A15" i="27" a="1"/>
  <c r="A15" i="27" s="1"/>
  <c r="E14" i="27"/>
  <c r="B14" i="27"/>
  <c r="A14" i="27" a="1"/>
  <c r="A14" i="27" s="1"/>
  <c r="E13" i="27"/>
  <c r="B13" i="27"/>
  <c r="A13" i="27" a="1"/>
  <c r="A13" i="27" s="1"/>
  <c r="E12" i="27"/>
  <c r="B12" i="27"/>
  <c r="A12" i="27" a="1"/>
  <c r="A12" i="27" s="1"/>
  <c r="T11" i="27" a="1"/>
  <c r="T11" i="27" s="1"/>
  <c r="E11" i="27"/>
  <c r="B11" i="27"/>
  <c r="A11" i="27" a="1"/>
  <c r="A11" i="27" s="1"/>
  <c r="E10" i="27"/>
  <c r="B10" i="27"/>
  <c r="A10" i="27" a="1"/>
  <c r="A10" i="27" s="1"/>
  <c r="C10" i="27" s="1"/>
  <c r="E9" i="27"/>
  <c r="B9" i="27"/>
  <c r="A9" i="27" a="1"/>
  <c r="A9" i="27" s="1"/>
  <c r="E8" i="27"/>
  <c r="B8" i="27"/>
  <c r="A8" i="27" a="1"/>
  <c r="A8" i="27" s="1"/>
  <c r="E7" i="27"/>
  <c r="B7" i="27"/>
  <c r="A7" i="27" a="1"/>
  <c r="A7" i="27" s="1"/>
  <c r="C7" i="27" s="1"/>
  <c r="E6" i="27"/>
  <c r="B6" i="27"/>
  <c r="A6" i="27" a="1"/>
  <c r="A6" i="27" s="1"/>
  <c r="T5" i="27" a="1"/>
  <c r="T5" i="27" s="1"/>
  <c r="E5" i="27"/>
  <c r="B5" i="27"/>
  <c r="A5" i="27" a="1"/>
  <c r="A5" i="27" s="1"/>
  <c r="E4" i="27"/>
  <c r="B4" i="27"/>
  <c r="A4" i="27" a="1"/>
  <c r="A4" i="27" s="1"/>
  <c r="C4" i="27" s="1"/>
  <c r="A3" i="27" a="1"/>
  <c r="A3" i="27" s="1"/>
  <c r="Y2" i="27" a="1"/>
  <c r="Y2" i="27" s="1"/>
  <c r="T2" i="27"/>
  <c r="P48" i="26"/>
  <c r="O48" i="26"/>
  <c r="P47" i="26"/>
  <c r="O47" i="26"/>
  <c r="P46" i="26"/>
  <c r="O46" i="26"/>
  <c r="P45" i="26"/>
  <c r="O45" i="26"/>
  <c r="P44" i="26"/>
  <c r="O44" i="26"/>
  <c r="U43" i="26"/>
  <c r="P43" i="26"/>
  <c r="J43" i="26"/>
  <c r="F43" i="26"/>
  <c r="P41" i="26"/>
  <c r="O41" i="26"/>
  <c r="R40" i="26"/>
  <c r="Q40" i="26"/>
  <c r="P40" i="26"/>
  <c r="O40" i="26"/>
  <c r="P39" i="26"/>
  <c r="O39" i="26"/>
  <c r="P38" i="26"/>
  <c r="O38" i="26"/>
  <c r="P37" i="26"/>
  <c r="O37" i="26"/>
  <c r="R36" i="26"/>
  <c r="P36" i="26"/>
  <c r="E33" i="26"/>
  <c r="A33" i="26" a="1"/>
  <c r="A33" i="26" s="1"/>
  <c r="E32" i="26"/>
  <c r="A32" i="26" a="1"/>
  <c r="A32" i="26" s="1"/>
  <c r="E31" i="26"/>
  <c r="A31" i="26" a="1"/>
  <c r="A31" i="26" s="1"/>
  <c r="E30" i="26"/>
  <c r="A30" i="26" a="1"/>
  <c r="A30" i="26" s="1"/>
  <c r="E29" i="26"/>
  <c r="A29" i="26" a="1"/>
  <c r="A29" i="26" s="1"/>
  <c r="E28" i="26"/>
  <c r="A28" i="26" a="1"/>
  <c r="A28" i="26" s="1"/>
  <c r="E27" i="26"/>
  <c r="A27" i="26" a="1"/>
  <c r="A27" i="26" s="1"/>
  <c r="E26" i="26"/>
  <c r="A26" i="26" a="1"/>
  <c r="A26" i="26" s="1"/>
  <c r="E25" i="26"/>
  <c r="A25" i="26" a="1"/>
  <c r="A25" i="26" s="1"/>
  <c r="E24" i="26"/>
  <c r="A24" i="26" a="1"/>
  <c r="A24" i="26" s="1"/>
  <c r="U23" i="26"/>
  <c r="E23" i="26"/>
  <c r="A23" i="26" a="1"/>
  <c r="A23" i="26" s="1"/>
  <c r="E22" i="26"/>
  <c r="A22" i="26" a="1"/>
  <c r="A22" i="26" s="1"/>
  <c r="E21" i="26"/>
  <c r="A21" i="26" a="1"/>
  <c r="A21" i="26" s="1"/>
  <c r="D21" i="26" s="1"/>
  <c r="E20" i="26"/>
  <c r="A20" i="26" a="1"/>
  <c r="A20" i="26" s="1"/>
  <c r="E19" i="26"/>
  <c r="A19" i="26" a="1"/>
  <c r="A19" i="26" s="1"/>
  <c r="T18" i="26" a="1"/>
  <c r="E18" i="26"/>
  <c r="A18" i="26" a="1"/>
  <c r="A18" i="26" s="1"/>
  <c r="E17" i="26"/>
  <c r="A17" i="26" a="1"/>
  <c r="A17" i="26" s="1"/>
  <c r="E16" i="26"/>
  <c r="B16" i="26"/>
  <c r="A16" i="26" a="1"/>
  <c r="A16" i="26" s="1"/>
  <c r="E15" i="26"/>
  <c r="B15" i="26"/>
  <c r="A15" i="26" a="1"/>
  <c r="A15" i="26" s="1"/>
  <c r="E14" i="26"/>
  <c r="B14" i="26"/>
  <c r="A14" i="26" a="1"/>
  <c r="A14" i="26" s="1"/>
  <c r="E13" i="26"/>
  <c r="B13" i="26"/>
  <c r="A13" i="26" a="1"/>
  <c r="A13" i="26" s="1"/>
  <c r="E12" i="26"/>
  <c r="B12" i="26"/>
  <c r="A12" i="26" a="1"/>
  <c r="A12" i="26" s="1"/>
  <c r="T11" i="26" a="1"/>
  <c r="T11" i="26" s="1"/>
  <c r="E11" i="26"/>
  <c r="B11" i="26"/>
  <c r="A11" i="26" a="1"/>
  <c r="A11" i="26" s="1"/>
  <c r="E10" i="26"/>
  <c r="B10" i="26"/>
  <c r="A10" i="26" a="1"/>
  <c r="A10" i="26" s="1"/>
  <c r="E9" i="26"/>
  <c r="B9" i="26"/>
  <c r="A9" i="26" a="1"/>
  <c r="A9" i="26" s="1"/>
  <c r="E8" i="26"/>
  <c r="B8" i="26"/>
  <c r="A8" i="26" a="1"/>
  <c r="A8" i="26" s="1"/>
  <c r="E7" i="26"/>
  <c r="B7" i="26"/>
  <c r="A7" i="26" a="1"/>
  <c r="A7" i="26" s="1"/>
  <c r="E6" i="26"/>
  <c r="B6" i="26"/>
  <c r="A6" i="26" a="1"/>
  <c r="A6" i="26" s="1"/>
  <c r="T5" i="26" a="1"/>
  <c r="T5" i="26" s="1"/>
  <c r="E5" i="26"/>
  <c r="B5" i="26"/>
  <c r="A5" i="26" a="1"/>
  <c r="A5" i="26" s="1"/>
  <c r="E4" i="26"/>
  <c r="B4" i="26"/>
  <c r="A4" i="26" a="1"/>
  <c r="A4" i="26" s="1"/>
  <c r="A3" i="26" a="1"/>
  <c r="A3" i="26" s="1"/>
  <c r="Y2" i="26" a="1"/>
  <c r="Y2" i="26" s="1"/>
  <c r="T2" i="26"/>
  <c r="P48" i="25"/>
  <c r="O48" i="25"/>
  <c r="P47" i="25"/>
  <c r="O47" i="25"/>
  <c r="P46" i="25"/>
  <c r="O46" i="25"/>
  <c r="P45" i="25"/>
  <c r="O45" i="25"/>
  <c r="P44" i="25"/>
  <c r="O44" i="25"/>
  <c r="U43" i="25"/>
  <c r="P43" i="25"/>
  <c r="J43" i="25"/>
  <c r="F43" i="25"/>
  <c r="P41" i="25"/>
  <c r="O41" i="25"/>
  <c r="R40" i="25"/>
  <c r="Q40" i="25"/>
  <c r="P40" i="25"/>
  <c r="O40" i="25"/>
  <c r="P39" i="25"/>
  <c r="O39" i="25"/>
  <c r="P38" i="25"/>
  <c r="O38" i="25"/>
  <c r="P37" i="25"/>
  <c r="O37" i="25"/>
  <c r="R36" i="25"/>
  <c r="P36" i="25"/>
  <c r="E33" i="25"/>
  <c r="A33" i="25" a="1"/>
  <c r="A33" i="25" s="1"/>
  <c r="E32" i="25"/>
  <c r="A32" i="25" a="1"/>
  <c r="A32" i="25" s="1"/>
  <c r="E31" i="25"/>
  <c r="A31" i="25" a="1"/>
  <c r="A31" i="25" s="1"/>
  <c r="E30" i="25"/>
  <c r="A30" i="25" a="1"/>
  <c r="A30" i="25" s="1"/>
  <c r="E29" i="25"/>
  <c r="A29" i="25" a="1"/>
  <c r="A29" i="25" s="1"/>
  <c r="E28" i="25"/>
  <c r="A28" i="25" a="1"/>
  <c r="A28" i="25" s="1"/>
  <c r="C28" i="25" s="1"/>
  <c r="E27" i="25"/>
  <c r="A27" i="25" a="1"/>
  <c r="A27" i="25" s="1"/>
  <c r="E26" i="25"/>
  <c r="A26" i="25" a="1"/>
  <c r="A26" i="25" s="1"/>
  <c r="E25" i="25"/>
  <c r="A25" i="25" a="1"/>
  <c r="A25" i="25" s="1"/>
  <c r="E24" i="25"/>
  <c r="A24" i="25" a="1"/>
  <c r="A24" i="25" s="1"/>
  <c r="G24" i="25" s="1"/>
  <c r="U23" i="25"/>
  <c r="E23" i="25"/>
  <c r="A23" i="25" a="1"/>
  <c r="A23" i="25" s="1"/>
  <c r="E22" i="25"/>
  <c r="A22" i="25" a="1"/>
  <c r="A22" i="25" s="1"/>
  <c r="E21" i="25"/>
  <c r="A21" i="25" a="1"/>
  <c r="A21" i="25" s="1"/>
  <c r="D21" i="25" s="1"/>
  <c r="E20" i="25"/>
  <c r="A20" i="25" a="1"/>
  <c r="A20" i="25" s="1"/>
  <c r="E19" i="25"/>
  <c r="A19" i="25" a="1"/>
  <c r="A19" i="25" s="1"/>
  <c r="T18" i="25" a="1"/>
  <c r="E18" i="25"/>
  <c r="A18" i="25" a="1"/>
  <c r="A18" i="25" s="1"/>
  <c r="E17" i="25"/>
  <c r="A17" i="25" a="1"/>
  <c r="A17" i="25" s="1"/>
  <c r="E16" i="25"/>
  <c r="B16" i="25"/>
  <c r="A16" i="25" a="1"/>
  <c r="A16" i="25" s="1"/>
  <c r="E15" i="25"/>
  <c r="B15" i="25"/>
  <c r="A15" i="25" a="1"/>
  <c r="A15" i="25" s="1"/>
  <c r="E14" i="25"/>
  <c r="B14" i="25"/>
  <c r="A14" i="25" a="1"/>
  <c r="A14" i="25" s="1"/>
  <c r="E13" i="25"/>
  <c r="B13" i="25"/>
  <c r="A13" i="25" a="1"/>
  <c r="A13" i="25" s="1"/>
  <c r="E12" i="25"/>
  <c r="B12" i="25"/>
  <c r="A12" i="25" a="1"/>
  <c r="A12" i="25" s="1"/>
  <c r="G12" i="25" s="1"/>
  <c r="J12" i="25" s="1"/>
  <c r="T11" i="25" a="1"/>
  <c r="T11" i="25" s="1"/>
  <c r="E11" i="25"/>
  <c r="B11" i="25"/>
  <c r="A11" i="25" a="1"/>
  <c r="A11" i="25" s="1"/>
  <c r="E10" i="25"/>
  <c r="B10" i="25"/>
  <c r="A10" i="25" a="1"/>
  <c r="A10" i="25" s="1"/>
  <c r="E9" i="25"/>
  <c r="B9" i="25"/>
  <c r="A9" i="25" a="1"/>
  <c r="A9" i="25" s="1"/>
  <c r="E8" i="25"/>
  <c r="B8" i="25"/>
  <c r="A8" i="25" a="1"/>
  <c r="A8" i="25" s="1"/>
  <c r="E7" i="25"/>
  <c r="B7" i="25"/>
  <c r="A7" i="25" a="1"/>
  <c r="A7" i="25" s="1"/>
  <c r="G7" i="25" s="1"/>
  <c r="E6" i="25"/>
  <c r="B6" i="25"/>
  <c r="A6" i="25" a="1"/>
  <c r="A6" i="25" s="1"/>
  <c r="T5" i="25" a="1"/>
  <c r="T5" i="25" s="1"/>
  <c r="E5" i="25"/>
  <c r="B5" i="25"/>
  <c r="A5" i="25" a="1"/>
  <c r="A5" i="25" s="1"/>
  <c r="E4" i="25"/>
  <c r="B4" i="25"/>
  <c r="A4" i="25" a="1"/>
  <c r="A4" i="25" s="1"/>
  <c r="A3" i="25" a="1"/>
  <c r="A3" i="25" s="1"/>
  <c r="C3" i="25" s="1"/>
  <c r="Y2" i="25" a="1"/>
  <c r="Y2" i="25" s="1"/>
  <c r="T2" i="25"/>
  <c r="E2" i="5" a="1"/>
  <c r="E2" i="5" s="1"/>
  <c r="P48" i="23"/>
  <c r="O48" i="23"/>
  <c r="P47" i="23"/>
  <c r="O47" i="23"/>
  <c r="P46" i="23"/>
  <c r="O46" i="23"/>
  <c r="P45" i="23"/>
  <c r="O45" i="23"/>
  <c r="P44" i="23"/>
  <c r="O44" i="23"/>
  <c r="P43" i="23"/>
  <c r="J43" i="23"/>
  <c r="F43" i="23"/>
  <c r="U43" i="23" s="1"/>
  <c r="P41" i="23"/>
  <c r="O41" i="23"/>
  <c r="R40" i="23"/>
  <c r="Q40" i="23"/>
  <c r="P40" i="23"/>
  <c r="O40" i="23"/>
  <c r="P39" i="23"/>
  <c r="O39" i="23"/>
  <c r="P38" i="23"/>
  <c r="O38" i="23"/>
  <c r="P37" i="23"/>
  <c r="O37" i="23"/>
  <c r="R36" i="23"/>
  <c r="P36" i="23"/>
  <c r="E33" i="23"/>
  <c r="A33" i="23" a="1"/>
  <c r="A33" i="23" s="1"/>
  <c r="E32" i="23"/>
  <c r="A32" i="23" a="1"/>
  <c r="A32" i="23" s="1"/>
  <c r="E31" i="23"/>
  <c r="A31" i="23" a="1"/>
  <c r="A31" i="23" s="1"/>
  <c r="E30" i="23"/>
  <c r="A30" i="23" a="1"/>
  <c r="A30" i="23" s="1"/>
  <c r="E29" i="23"/>
  <c r="A29" i="23" a="1"/>
  <c r="A29" i="23" s="1"/>
  <c r="E28" i="23"/>
  <c r="A28" i="23" a="1"/>
  <c r="A28" i="23" s="1"/>
  <c r="E27" i="23"/>
  <c r="A27" i="23" a="1"/>
  <c r="A27" i="23" s="1"/>
  <c r="E26" i="23"/>
  <c r="A26" i="23" a="1"/>
  <c r="A26" i="23" s="1"/>
  <c r="E25" i="23"/>
  <c r="A25" i="23" a="1"/>
  <c r="A25" i="23" s="1"/>
  <c r="E24" i="23"/>
  <c r="A24" i="23" a="1"/>
  <c r="A24" i="23" s="1"/>
  <c r="U23" i="23"/>
  <c r="E23" i="23"/>
  <c r="A23" i="23" a="1"/>
  <c r="A23" i="23" s="1"/>
  <c r="E22" i="23"/>
  <c r="A22" i="23" a="1"/>
  <c r="A22" i="23" s="1"/>
  <c r="E21" i="23"/>
  <c r="A21" i="23" a="1"/>
  <c r="A21" i="23" s="1"/>
  <c r="E20" i="23"/>
  <c r="A20" i="23" a="1"/>
  <c r="A20" i="23" s="1"/>
  <c r="E19" i="23"/>
  <c r="A19" i="23" a="1"/>
  <c r="A19" i="23" s="1"/>
  <c r="T18" i="23" a="1"/>
  <c r="E18" i="23"/>
  <c r="A18" i="23" a="1"/>
  <c r="A18" i="23" s="1"/>
  <c r="E17" i="23"/>
  <c r="A17" i="23" a="1"/>
  <c r="A17" i="23" s="1"/>
  <c r="E16" i="23"/>
  <c r="B16" i="23"/>
  <c r="A16" i="23" a="1"/>
  <c r="A16" i="23" s="1"/>
  <c r="E15" i="23"/>
  <c r="B15" i="23"/>
  <c r="A15" i="23" a="1"/>
  <c r="A15" i="23" s="1"/>
  <c r="E14" i="23"/>
  <c r="B14" i="23"/>
  <c r="A14" i="23" a="1"/>
  <c r="A14" i="23" s="1"/>
  <c r="E13" i="23"/>
  <c r="B13" i="23"/>
  <c r="A13" i="23" a="1"/>
  <c r="A13" i="23" s="1"/>
  <c r="E12" i="23"/>
  <c r="B12" i="23"/>
  <c r="A12" i="23" a="1"/>
  <c r="A12" i="23" s="1"/>
  <c r="T11" i="23" a="1"/>
  <c r="T11" i="23" s="1"/>
  <c r="E11" i="23"/>
  <c r="B11" i="23"/>
  <c r="A11" i="23" a="1"/>
  <c r="A11" i="23" s="1"/>
  <c r="E10" i="23"/>
  <c r="B10" i="23"/>
  <c r="A10" i="23" a="1"/>
  <c r="A10" i="23" s="1"/>
  <c r="E9" i="23"/>
  <c r="B9" i="23"/>
  <c r="A9" i="23" a="1"/>
  <c r="A9" i="23" s="1"/>
  <c r="E8" i="23"/>
  <c r="B8" i="23"/>
  <c r="A8" i="23" a="1"/>
  <c r="A8" i="23" s="1"/>
  <c r="E7" i="23"/>
  <c r="B7" i="23"/>
  <c r="A7" i="23" a="1"/>
  <c r="A7" i="23" s="1"/>
  <c r="E6" i="23"/>
  <c r="B6" i="23"/>
  <c r="A6" i="23" a="1"/>
  <c r="A6" i="23" s="1"/>
  <c r="T5" i="23" a="1"/>
  <c r="T5" i="23" s="1"/>
  <c r="E5" i="23"/>
  <c r="B5" i="23"/>
  <c r="A5" i="23" a="1"/>
  <c r="A5" i="23" s="1"/>
  <c r="E4" i="23"/>
  <c r="B4" i="23"/>
  <c r="A4" i="23" a="1"/>
  <c r="A4" i="23" s="1"/>
  <c r="A3" i="23" a="1"/>
  <c r="A3" i="23" s="1"/>
  <c r="Y2" i="23" a="1"/>
  <c r="Y2" i="23" s="1"/>
  <c r="T2" i="23"/>
  <c r="P48" i="22"/>
  <c r="O48" i="22"/>
  <c r="P47" i="22"/>
  <c r="O47" i="22"/>
  <c r="P46" i="22"/>
  <c r="O46" i="22"/>
  <c r="P45" i="22"/>
  <c r="O45" i="22"/>
  <c r="P44" i="22"/>
  <c r="O44" i="22"/>
  <c r="P43" i="22"/>
  <c r="J43" i="22"/>
  <c r="F43" i="22"/>
  <c r="U43" i="22" s="1"/>
  <c r="P41" i="22"/>
  <c r="O41" i="22"/>
  <c r="R40" i="22"/>
  <c r="Q40" i="22"/>
  <c r="P40" i="22"/>
  <c r="O40" i="22"/>
  <c r="P39" i="22"/>
  <c r="O39" i="22"/>
  <c r="P38" i="22"/>
  <c r="O38" i="22"/>
  <c r="P37" i="22"/>
  <c r="O37" i="22"/>
  <c r="R36" i="22"/>
  <c r="P36" i="22"/>
  <c r="E33" i="22"/>
  <c r="A33" i="22" a="1"/>
  <c r="A33" i="22" s="1"/>
  <c r="D33" i="22" s="1"/>
  <c r="E32" i="22"/>
  <c r="A32" i="22" a="1"/>
  <c r="A32" i="22" s="1"/>
  <c r="E31" i="22"/>
  <c r="A31" i="22" a="1"/>
  <c r="A31" i="22" s="1"/>
  <c r="E30" i="22"/>
  <c r="A30" i="22" a="1"/>
  <c r="A30" i="22" s="1"/>
  <c r="E29" i="22"/>
  <c r="A29" i="22" a="1"/>
  <c r="A29" i="22" s="1"/>
  <c r="E28" i="22"/>
  <c r="A28" i="22" a="1"/>
  <c r="A28" i="22" s="1"/>
  <c r="E27" i="22"/>
  <c r="A27" i="22" a="1"/>
  <c r="A27" i="22" s="1"/>
  <c r="E26" i="22"/>
  <c r="A26" i="22" a="1"/>
  <c r="A26" i="22" s="1"/>
  <c r="E25" i="22"/>
  <c r="A25" i="22" a="1"/>
  <c r="A25" i="22" s="1"/>
  <c r="E24" i="22"/>
  <c r="A24" i="22" a="1"/>
  <c r="A24" i="22" s="1"/>
  <c r="U23" i="22"/>
  <c r="E23" i="22"/>
  <c r="A23" i="22" a="1"/>
  <c r="A23" i="22" s="1"/>
  <c r="E22" i="22"/>
  <c r="A22" i="22" a="1"/>
  <c r="A22" i="22" s="1"/>
  <c r="E21" i="22"/>
  <c r="A21" i="22" a="1"/>
  <c r="A21" i="22" s="1"/>
  <c r="E20" i="22"/>
  <c r="A20" i="22" a="1"/>
  <c r="A20" i="22" s="1"/>
  <c r="E19" i="22"/>
  <c r="A19" i="22" a="1"/>
  <c r="A19" i="22" s="1"/>
  <c r="T18" i="22" a="1"/>
  <c r="E18" i="22"/>
  <c r="A18" i="22" a="1"/>
  <c r="A18" i="22" s="1"/>
  <c r="E17" i="22"/>
  <c r="A17" i="22" a="1"/>
  <c r="A17" i="22" s="1"/>
  <c r="E16" i="22"/>
  <c r="B16" i="22"/>
  <c r="A16" i="22" a="1"/>
  <c r="A16" i="22" s="1"/>
  <c r="E15" i="22"/>
  <c r="B15" i="22"/>
  <c r="A15" i="22" a="1"/>
  <c r="A15" i="22" s="1"/>
  <c r="E14" i="22"/>
  <c r="B14" i="22"/>
  <c r="A14" i="22" a="1"/>
  <c r="A14" i="22" s="1"/>
  <c r="E13" i="22"/>
  <c r="B13" i="22"/>
  <c r="A13" i="22" a="1"/>
  <c r="A13" i="22" s="1"/>
  <c r="E12" i="22"/>
  <c r="B12" i="22"/>
  <c r="A12" i="22" a="1"/>
  <c r="A12" i="22" s="1"/>
  <c r="G12" i="22" s="1"/>
  <c r="T11" i="22" a="1"/>
  <c r="T11" i="22" s="1"/>
  <c r="E11" i="22"/>
  <c r="B11" i="22"/>
  <c r="A11" i="22" a="1"/>
  <c r="A11" i="22" s="1"/>
  <c r="E10" i="22"/>
  <c r="B10" i="22"/>
  <c r="A10" i="22" a="1"/>
  <c r="A10" i="22" s="1"/>
  <c r="E9" i="22"/>
  <c r="B9" i="22"/>
  <c r="A9" i="22" a="1"/>
  <c r="A9" i="22" s="1"/>
  <c r="E8" i="22"/>
  <c r="B8" i="22"/>
  <c r="A8" i="22" a="1"/>
  <c r="A8" i="22" s="1"/>
  <c r="E7" i="22"/>
  <c r="B7" i="22"/>
  <c r="A7" i="22" a="1"/>
  <c r="A7" i="22" s="1"/>
  <c r="E6" i="22"/>
  <c r="B6" i="22"/>
  <c r="A6" i="22" a="1"/>
  <c r="A6" i="22" s="1"/>
  <c r="T5" i="22" a="1"/>
  <c r="T5" i="22" s="1"/>
  <c r="E5" i="22"/>
  <c r="B5" i="22"/>
  <c r="A5" i="22" a="1"/>
  <c r="A5" i="22" s="1"/>
  <c r="E4" i="22"/>
  <c r="B4" i="22"/>
  <c r="A4" i="22" a="1"/>
  <c r="A4" i="22" s="1"/>
  <c r="A3" i="22" a="1"/>
  <c r="A3" i="22" s="1"/>
  <c r="Y2" i="22" a="1"/>
  <c r="Y2" i="22" s="1"/>
  <c r="T2" i="22"/>
  <c r="U11" i="29" l="1" a="1"/>
  <c r="U11" i="29" s="1"/>
  <c r="D41" i="29" a="1"/>
  <c r="D41" i="29" s="1"/>
  <c r="D42" i="29" a="1"/>
  <c r="D42" i="29" s="1"/>
  <c r="C12" i="34"/>
  <c r="G12" i="34"/>
  <c r="J12" i="34" s="1"/>
  <c r="D12" i="34"/>
  <c r="D33" i="34"/>
  <c r="C33" i="34"/>
  <c r="G13" i="34"/>
  <c r="J13" i="34" s="1"/>
  <c r="D13" i="34"/>
  <c r="C13" i="34"/>
  <c r="G5" i="34"/>
  <c r="J5" i="34" s="1"/>
  <c r="D5" i="34"/>
  <c r="C5" i="34"/>
  <c r="G25" i="34"/>
  <c r="J25" i="34" s="1"/>
  <c r="D25" i="34"/>
  <c r="C25" i="34"/>
  <c r="G14" i="34"/>
  <c r="J14" i="34" s="1"/>
  <c r="D14" i="34"/>
  <c r="C14" i="34"/>
  <c r="D26" i="34"/>
  <c r="C26" i="34"/>
  <c r="G26" i="34"/>
  <c r="J26" i="34" s="1"/>
  <c r="G6" i="34"/>
  <c r="J6" i="34" s="1"/>
  <c r="D6" i="34"/>
  <c r="C6" i="34"/>
  <c r="G27" i="34"/>
  <c r="J27" i="34" s="1"/>
  <c r="D27" i="34"/>
  <c r="C27" i="34"/>
  <c r="G15" i="34"/>
  <c r="J15" i="34" s="1"/>
  <c r="D15" i="34"/>
  <c r="C15" i="34"/>
  <c r="G28" i="34"/>
  <c r="J28" i="34" s="1"/>
  <c r="D28" i="34"/>
  <c r="C28" i="34"/>
  <c r="G29" i="34"/>
  <c r="J29" i="34" s="1"/>
  <c r="D29" i="34"/>
  <c r="C29" i="34"/>
  <c r="G8" i="34"/>
  <c r="J8" i="34" s="1"/>
  <c r="D8" i="34"/>
  <c r="C8" i="34"/>
  <c r="G17" i="34"/>
  <c r="J17" i="34" s="1"/>
  <c r="D17" i="34"/>
  <c r="C17" i="34"/>
  <c r="G31" i="34"/>
  <c r="J31" i="34" s="1"/>
  <c r="D31" i="34"/>
  <c r="C31" i="34"/>
  <c r="C9" i="34"/>
  <c r="G9" i="34"/>
  <c r="J9" i="34" s="1"/>
  <c r="D9" i="34"/>
  <c r="G18" i="34"/>
  <c r="J18" i="34" s="1"/>
  <c r="D18" i="34"/>
  <c r="C18" i="34"/>
  <c r="G32" i="34"/>
  <c r="J32" i="34" s="1"/>
  <c r="D32" i="34"/>
  <c r="C32" i="34"/>
  <c r="C10" i="34"/>
  <c r="G10" i="34"/>
  <c r="J10" i="34" s="1"/>
  <c r="D10" i="34"/>
  <c r="G19" i="34"/>
  <c r="J19" i="34" s="1"/>
  <c r="D19" i="34"/>
  <c r="C19" i="34"/>
  <c r="D20" i="34"/>
  <c r="C20" i="34"/>
  <c r="G20" i="34"/>
  <c r="J20" i="34" s="1"/>
  <c r="G11" i="34"/>
  <c r="J11" i="34" s="1"/>
  <c r="D11" i="34"/>
  <c r="C11" i="34"/>
  <c r="G22" i="34"/>
  <c r="J22" i="34" s="1"/>
  <c r="D22" i="34"/>
  <c r="C22" i="34"/>
  <c r="G23" i="34"/>
  <c r="J23" i="34" s="1"/>
  <c r="D23" i="34"/>
  <c r="C23" i="34"/>
  <c r="F49" i="34" a="1"/>
  <c r="F49" i="34" s="1"/>
  <c r="J42" i="34" a="1"/>
  <c r="J42" i="34" s="1"/>
  <c r="F42" i="34" a="1"/>
  <c r="F42" i="34" s="1"/>
  <c r="J41" i="34" a="1"/>
  <c r="J41" i="34" s="1"/>
  <c r="D37" i="34" a="1"/>
  <c r="D37" i="34" s="1"/>
  <c r="F41" i="34" a="1"/>
  <c r="F41" i="34" s="1"/>
  <c r="G3" i="34"/>
  <c r="J3" i="34" s="1"/>
  <c r="D3" i="34"/>
  <c r="C3" i="34"/>
  <c r="C30" i="34"/>
  <c r="D30" i="34"/>
  <c r="F33" i="34"/>
  <c r="N33" i="34" s="1"/>
  <c r="G33" i="34"/>
  <c r="J33" i="34" s="1"/>
  <c r="G30" i="34"/>
  <c r="J30" i="34" s="1"/>
  <c r="C21" i="34"/>
  <c r="D21" i="34"/>
  <c r="D4" i="34"/>
  <c r="F4" i="34" s="1"/>
  <c r="N4" i="34" s="1"/>
  <c r="D7" i="34"/>
  <c r="T18" i="34"/>
  <c r="C24" i="34"/>
  <c r="D24" i="34"/>
  <c r="C7" i="34"/>
  <c r="G21" i="34"/>
  <c r="J21" i="34" s="1"/>
  <c r="G4" i="34"/>
  <c r="J4" i="34" s="1"/>
  <c r="U19" i="34" s="1"/>
  <c r="G7" i="34"/>
  <c r="J7" i="34" s="1"/>
  <c r="U22" i="34" s="1"/>
  <c r="G24" i="34"/>
  <c r="J24" i="34" s="1"/>
  <c r="C16" i="34"/>
  <c r="D16" i="34"/>
  <c r="G16" i="34"/>
  <c r="J16" i="34" s="1"/>
  <c r="D12" i="33"/>
  <c r="G12" i="33"/>
  <c r="J12" i="33" s="1"/>
  <c r="C12" i="33"/>
  <c r="G4" i="33"/>
  <c r="J4" i="33" s="1"/>
  <c r="C4" i="33"/>
  <c r="G7" i="33"/>
  <c r="J7" i="33" s="1"/>
  <c r="C7" i="33"/>
  <c r="G5" i="33"/>
  <c r="J5" i="33" s="1"/>
  <c r="D5" i="33"/>
  <c r="C5" i="33"/>
  <c r="G13" i="33"/>
  <c r="J13" i="33" s="1"/>
  <c r="D13" i="33"/>
  <c r="C13" i="33"/>
  <c r="G14" i="33"/>
  <c r="J14" i="33" s="1"/>
  <c r="D14" i="33"/>
  <c r="C14" i="33"/>
  <c r="G25" i="33"/>
  <c r="J25" i="33" s="1"/>
  <c r="D25" i="33"/>
  <c r="C25" i="33"/>
  <c r="G6" i="33"/>
  <c r="J6" i="33" s="1"/>
  <c r="D6" i="33"/>
  <c r="C6" i="33"/>
  <c r="D26" i="33"/>
  <c r="C26" i="33"/>
  <c r="G26" i="33"/>
  <c r="J26" i="33" s="1"/>
  <c r="G15" i="33"/>
  <c r="J15" i="33" s="1"/>
  <c r="D15" i="33"/>
  <c r="C15" i="33"/>
  <c r="G27" i="33"/>
  <c r="J27" i="33" s="1"/>
  <c r="D27" i="33"/>
  <c r="C27" i="33"/>
  <c r="G28" i="33"/>
  <c r="J28" i="33" s="1"/>
  <c r="D28" i="33"/>
  <c r="C28" i="33"/>
  <c r="G29" i="33"/>
  <c r="J29" i="33" s="1"/>
  <c r="D29" i="33"/>
  <c r="C29" i="33"/>
  <c r="G8" i="33"/>
  <c r="J8" i="33" s="1"/>
  <c r="D8" i="33"/>
  <c r="C8" i="33"/>
  <c r="G17" i="33"/>
  <c r="J17" i="33" s="1"/>
  <c r="D17" i="33"/>
  <c r="C17" i="33"/>
  <c r="C9" i="33"/>
  <c r="G9" i="33"/>
  <c r="J9" i="33" s="1"/>
  <c r="D9" i="33"/>
  <c r="G18" i="33"/>
  <c r="J18" i="33" s="1"/>
  <c r="D18" i="33"/>
  <c r="C18" i="33"/>
  <c r="G31" i="33"/>
  <c r="J31" i="33" s="1"/>
  <c r="D31" i="33"/>
  <c r="C31" i="33"/>
  <c r="G10" i="33"/>
  <c r="J10" i="33" s="1"/>
  <c r="D10" i="33"/>
  <c r="C10" i="33"/>
  <c r="G19" i="33"/>
  <c r="J19" i="33" s="1"/>
  <c r="D19" i="33"/>
  <c r="C19" i="33"/>
  <c r="G32" i="33"/>
  <c r="J32" i="33" s="1"/>
  <c r="D32" i="33"/>
  <c r="C32" i="33"/>
  <c r="D20" i="33"/>
  <c r="C20" i="33"/>
  <c r="G20" i="33"/>
  <c r="J20" i="33" s="1"/>
  <c r="G11" i="33"/>
  <c r="J11" i="33" s="1"/>
  <c r="D11" i="33"/>
  <c r="C11" i="33"/>
  <c r="F49" i="33" a="1"/>
  <c r="F49" i="33" s="1"/>
  <c r="G22" i="33"/>
  <c r="J22" i="33" s="1"/>
  <c r="D22" i="33"/>
  <c r="C22" i="33"/>
  <c r="C3" i="33"/>
  <c r="C23" i="33"/>
  <c r="C30" i="33"/>
  <c r="D33" i="33"/>
  <c r="F33" i="33" s="1"/>
  <c r="N33" i="33" s="1"/>
  <c r="D3" i="33"/>
  <c r="D23" i="33"/>
  <c r="D30" i="33"/>
  <c r="G3" i="33"/>
  <c r="J3" i="33" s="1"/>
  <c r="G33" i="33"/>
  <c r="J33" i="33" s="1"/>
  <c r="G23" i="33"/>
  <c r="J23" i="33" s="1"/>
  <c r="G30" i="33"/>
  <c r="J30" i="33" s="1"/>
  <c r="C21" i="33"/>
  <c r="F21" i="33" s="1"/>
  <c r="N21" i="33" s="1"/>
  <c r="D4" i="33"/>
  <c r="D7" i="33"/>
  <c r="T18" i="33"/>
  <c r="C24" i="33"/>
  <c r="D24" i="33"/>
  <c r="G21" i="33"/>
  <c r="J21" i="33" s="1"/>
  <c r="G24" i="33"/>
  <c r="J24" i="33" s="1"/>
  <c r="F41" i="33" a="1"/>
  <c r="F41" i="33" s="1"/>
  <c r="D37" i="33" a="1"/>
  <c r="D37" i="33" s="1"/>
  <c r="C16" i="33"/>
  <c r="J41" i="33" a="1"/>
  <c r="J41" i="33" s="1"/>
  <c r="D16" i="33"/>
  <c r="G16" i="33"/>
  <c r="J16" i="33" s="1"/>
  <c r="F42" i="33" a="1"/>
  <c r="F42" i="33" s="1"/>
  <c r="J42" i="33" a="1"/>
  <c r="J42" i="33" s="1"/>
  <c r="G12" i="32"/>
  <c r="J12" i="32" s="1"/>
  <c r="D12" i="32"/>
  <c r="C12" i="32"/>
  <c r="G13" i="32"/>
  <c r="J13" i="32" s="1"/>
  <c r="D13" i="32"/>
  <c r="C13" i="32"/>
  <c r="G5" i="32"/>
  <c r="J5" i="32" s="1"/>
  <c r="D5" i="32"/>
  <c r="C5" i="32"/>
  <c r="G25" i="32"/>
  <c r="J25" i="32" s="1"/>
  <c r="D25" i="32"/>
  <c r="C25" i="32"/>
  <c r="G14" i="32"/>
  <c r="J14" i="32" s="1"/>
  <c r="D14" i="32"/>
  <c r="C14" i="32"/>
  <c r="D26" i="32"/>
  <c r="C26" i="32"/>
  <c r="G26" i="32"/>
  <c r="J26" i="32" s="1"/>
  <c r="G6" i="32"/>
  <c r="J6" i="32" s="1"/>
  <c r="D6" i="32"/>
  <c r="C6" i="32"/>
  <c r="G27" i="32"/>
  <c r="J27" i="32" s="1"/>
  <c r="D27" i="32"/>
  <c r="C27" i="32"/>
  <c r="G15" i="32"/>
  <c r="J15" i="32" s="1"/>
  <c r="D15" i="32"/>
  <c r="C15" i="32"/>
  <c r="G28" i="32"/>
  <c r="J28" i="32" s="1"/>
  <c r="D28" i="32"/>
  <c r="C28" i="32"/>
  <c r="G29" i="32"/>
  <c r="J29" i="32" s="1"/>
  <c r="D29" i="32"/>
  <c r="C29" i="32"/>
  <c r="G30" i="32"/>
  <c r="J30" i="32" s="1"/>
  <c r="D30" i="32"/>
  <c r="C30" i="32"/>
  <c r="G8" i="32"/>
  <c r="J8" i="32" s="1"/>
  <c r="D8" i="32"/>
  <c r="C8" i="32"/>
  <c r="G17" i="32"/>
  <c r="J17" i="32" s="1"/>
  <c r="D17" i="32"/>
  <c r="C17" i="32"/>
  <c r="G31" i="32"/>
  <c r="J31" i="32" s="1"/>
  <c r="D31" i="32"/>
  <c r="C31" i="32"/>
  <c r="C9" i="32"/>
  <c r="G9" i="32"/>
  <c r="J9" i="32" s="1"/>
  <c r="D9" i="32"/>
  <c r="G18" i="32"/>
  <c r="J18" i="32" s="1"/>
  <c r="D18" i="32"/>
  <c r="C18" i="32"/>
  <c r="G32" i="32"/>
  <c r="J32" i="32" s="1"/>
  <c r="D32" i="32"/>
  <c r="C32" i="32"/>
  <c r="C10" i="32"/>
  <c r="G10" i="32"/>
  <c r="J10" i="32" s="1"/>
  <c r="D10" i="32"/>
  <c r="G19" i="32"/>
  <c r="J19" i="32" s="1"/>
  <c r="D19" i="32"/>
  <c r="C19" i="32"/>
  <c r="F49" i="32" a="1"/>
  <c r="F49" i="32" s="1"/>
  <c r="J42" i="32" a="1"/>
  <c r="J42" i="32" s="1"/>
  <c r="F42" i="32" a="1"/>
  <c r="F42" i="32" s="1"/>
  <c r="J41" i="32" a="1"/>
  <c r="J41" i="32" s="1"/>
  <c r="D37" i="32" a="1"/>
  <c r="D37" i="32" s="1"/>
  <c r="F41" i="32" a="1"/>
  <c r="F41" i="32" s="1"/>
  <c r="G3" i="32"/>
  <c r="J3" i="32" s="1"/>
  <c r="D3" i="32"/>
  <c r="C3" i="32"/>
  <c r="D20" i="32"/>
  <c r="C20" i="32"/>
  <c r="G20" i="32"/>
  <c r="J20" i="32" s="1"/>
  <c r="G11" i="32"/>
  <c r="J11" i="32" s="1"/>
  <c r="D11" i="32"/>
  <c r="C11" i="32"/>
  <c r="G22" i="32"/>
  <c r="J22" i="32" s="1"/>
  <c r="D22" i="32"/>
  <c r="C22" i="32"/>
  <c r="G23" i="32"/>
  <c r="J23" i="32" s="1"/>
  <c r="D23" i="32"/>
  <c r="C23" i="32"/>
  <c r="C33" i="32"/>
  <c r="F33" i="32" s="1"/>
  <c r="N33" i="32" s="1"/>
  <c r="G33" i="32"/>
  <c r="J33" i="32" s="1"/>
  <c r="C21" i="32"/>
  <c r="C4" i="32"/>
  <c r="C7" i="32"/>
  <c r="D4" i="32"/>
  <c r="D7" i="32"/>
  <c r="T18" i="32"/>
  <c r="C24" i="32"/>
  <c r="D21" i="32"/>
  <c r="D24" i="32"/>
  <c r="G21" i="32"/>
  <c r="J21" i="32" s="1"/>
  <c r="G4" i="32"/>
  <c r="J4" i="32" s="1"/>
  <c r="G7" i="32"/>
  <c r="J7" i="32" s="1"/>
  <c r="G24" i="32"/>
  <c r="J24" i="32" s="1"/>
  <c r="C16" i="32"/>
  <c r="D16" i="32"/>
  <c r="G16" i="32"/>
  <c r="J16" i="32" s="1"/>
  <c r="G12" i="31"/>
  <c r="J12" i="31" s="1"/>
  <c r="D12" i="31"/>
  <c r="C12" i="31"/>
  <c r="G23" i="31"/>
  <c r="J23" i="31" s="1"/>
  <c r="D23" i="31"/>
  <c r="C23" i="31"/>
  <c r="F49" i="31" a="1"/>
  <c r="F49" i="31" s="1"/>
  <c r="J42" i="31" a="1"/>
  <c r="J42" i="31" s="1"/>
  <c r="F42" i="31" a="1"/>
  <c r="F42" i="31" s="1"/>
  <c r="J41" i="31" a="1"/>
  <c r="J41" i="31" s="1"/>
  <c r="D37" i="31" a="1"/>
  <c r="D37" i="31" s="1"/>
  <c r="F41" i="31" a="1"/>
  <c r="F41" i="31" s="1"/>
  <c r="G3" i="31"/>
  <c r="J3" i="31" s="1"/>
  <c r="D3" i="31"/>
  <c r="C3" i="31"/>
  <c r="G13" i="31"/>
  <c r="J13" i="31" s="1"/>
  <c r="D13" i="31"/>
  <c r="C13" i="31"/>
  <c r="G12" i="30"/>
  <c r="J12" i="30" s="1"/>
  <c r="D12" i="30"/>
  <c r="C12" i="30"/>
  <c r="G5" i="31"/>
  <c r="J5" i="31" s="1"/>
  <c r="D5" i="31"/>
  <c r="C5" i="31"/>
  <c r="G25" i="31"/>
  <c r="J25" i="31" s="1"/>
  <c r="D25" i="31"/>
  <c r="C25" i="31"/>
  <c r="G14" i="31"/>
  <c r="J14" i="31" s="1"/>
  <c r="D14" i="31"/>
  <c r="C14" i="31"/>
  <c r="D26" i="31"/>
  <c r="C26" i="31"/>
  <c r="G26" i="31"/>
  <c r="J26" i="31" s="1"/>
  <c r="G6" i="31"/>
  <c r="J6" i="31" s="1"/>
  <c r="D6" i="31"/>
  <c r="C6" i="31"/>
  <c r="G27" i="31"/>
  <c r="J27" i="31" s="1"/>
  <c r="D27" i="31"/>
  <c r="C27" i="31"/>
  <c r="G15" i="31"/>
  <c r="J15" i="31" s="1"/>
  <c r="D15" i="31"/>
  <c r="C15" i="31"/>
  <c r="G28" i="31"/>
  <c r="J28" i="31" s="1"/>
  <c r="D28" i="31"/>
  <c r="C28" i="31"/>
  <c r="G29" i="31"/>
  <c r="J29" i="31" s="1"/>
  <c r="D29" i="31"/>
  <c r="C29" i="31"/>
  <c r="G30" i="31"/>
  <c r="J30" i="31" s="1"/>
  <c r="D30" i="31"/>
  <c r="C30" i="31"/>
  <c r="G8" i="31"/>
  <c r="J8" i="31" s="1"/>
  <c r="D8" i="31"/>
  <c r="C8" i="31"/>
  <c r="G17" i="31"/>
  <c r="J17" i="31" s="1"/>
  <c r="D17" i="31"/>
  <c r="C17" i="31"/>
  <c r="G31" i="31"/>
  <c r="J31" i="31" s="1"/>
  <c r="D31" i="31"/>
  <c r="C31" i="31"/>
  <c r="C9" i="31"/>
  <c r="G9" i="31"/>
  <c r="J9" i="31" s="1"/>
  <c r="D9" i="31"/>
  <c r="G18" i="31"/>
  <c r="J18" i="31" s="1"/>
  <c r="D18" i="31"/>
  <c r="C18" i="31"/>
  <c r="G32" i="31"/>
  <c r="J32" i="31" s="1"/>
  <c r="D32" i="31"/>
  <c r="C32" i="31"/>
  <c r="C10" i="31"/>
  <c r="G10" i="31"/>
  <c r="J10" i="31" s="1"/>
  <c r="D10" i="31"/>
  <c r="G19" i="31"/>
  <c r="J19" i="31" s="1"/>
  <c r="D19" i="31"/>
  <c r="C19" i="31"/>
  <c r="D20" i="31"/>
  <c r="C20" i="31"/>
  <c r="G20" i="31"/>
  <c r="J20" i="31" s="1"/>
  <c r="G11" i="31"/>
  <c r="J11" i="31" s="1"/>
  <c r="D11" i="31"/>
  <c r="C11" i="31"/>
  <c r="G22" i="31"/>
  <c r="J22" i="31" s="1"/>
  <c r="D22" i="31"/>
  <c r="C22" i="31"/>
  <c r="C33" i="31"/>
  <c r="D33" i="31"/>
  <c r="G33" i="31"/>
  <c r="J33" i="31" s="1"/>
  <c r="C21" i="31"/>
  <c r="D21" i="31"/>
  <c r="D4" i="31"/>
  <c r="F4" i="31" s="1"/>
  <c r="N4" i="31" s="1"/>
  <c r="D7" i="31"/>
  <c r="F7" i="31" s="1"/>
  <c r="N7" i="31" s="1"/>
  <c r="T18" i="31"/>
  <c r="C24" i="31"/>
  <c r="D24" i="31"/>
  <c r="G21" i="31"/>
  <c r="J21" i="31" s="1"/>
  <c r="G4" i="31"/>
  <c r="J4" i="31" s="1"/>
  <c r="G7" i="31"/>
  <c r="J7" i="31" s="1"/>
  <c r="G24" i="31"/>
  <c r="J24" i="31" s="1"/>
  <c r="C16" i="31"/>
  <c r="D16" i="31"/>
  <c r="G16" i="31"/>
  <c r="J16" i="31" s="1"/>
  <c r="G15" i="30"/>
  <c r="J15" i="30" s="1"/>
  <c r="F49" i="30" a="1"/>
  <c r="F49" i="30" s="1"/>
  <c r="J42" i="30" a="1"/>
  <c r="J42" i="30" s="1"/>
  <c r="F42" i="30" a="1"/>
  <c r="F42" i="30" s="1"/>
  <c r="J41" i="30" a="1"/>
  <c r="J41" i="30" s="1"/>
  <c r="D37" i="30" a="1"/>
  <c r="D37" i="30" s="1"/>
  <c r="F41" i="30" a="1"/>
  <c r="F41" i="30" s="1"/>
  <c r="G3" i="30"/>
  <c r="J3" i="30" s="1"/>
  <c r="D3" i="30"/>
  <c r="C3" i="30"/>
  <c r="G23" i="30"/>
  <c r="J23" i="30" s="1"/>
  <c r="D23" i="30"/>
  <c r="C23" i="30"/>
  <c r="G13" i="30"/>
  <c r="J13" i="30" s="1"/>
  <c r="D13" i="30"/>
  <c r="C13" i="30"/>
  <c r="G5" i="30"/>
  <c r="J5" i="30" s="1"/>
  <c r="D5" i="30"/>
  <c r="C5" i="30"/>
  <c r="G25" i="30"/>
  <c r="J25" i="30" s="1"/>
  <c r="D25" i="30"/>
  <c r="C25" i="30"/>
  <c r="G14" i="30"/>
  <c r="J14" i="30" s="1"/>
  <c r="D14" i="30"/>
  <c r="C14" i="30"/>
  <c r="D26" i="30"/>
  <c r="C26" i="30"/>
  <c r="G26" i="30"/>
  <c r="J26" i="30" s="1"/>
  <c r="G6" i="30"/>
  <c r="J6" i="30" s="1"/>
  <c r="D6" i="30"/>
  <c r="C6" i="30"/>
  <c r="G27" i="30"/>
  <c r="J27" i="30" s="1"/>
  <c r="D27" i="30"/>
  <c r="C27" i="30"/>
  <c r="F27" i="30" s="1"/>
  <c r="N27" i="30" s="1"/>
  <c r="G28" i="30"/>
  <c r="J28" i="30" s="1"/>
  <c r="D28" i="30"/>
  <c r="C28" i="30"/>
  <c r="G29" i="30"/>
  <c r="J29" i="30" s="1"/>
  <c r="D29" i="30"/>
  <c r="C29" i="30"/>
  <c r="G8" i="30"/>
  <c r="J8" i="30" s="1"/>
  <c r="D8" i="30"/>
  <c r="C8" i="30"/>
  <c r="G30" i="30"/>
  <c r="J30" i="30" s="1"/>
  <c r="D30" i="30"/>
  <c r="C30" i="30"/>
  <c r="G17" i="30"/>
  <c r="J17" i="30" s="1"/>
  <c r="D17" i="30"/>
  <c r="C17" i="30"/>
  <c r="G31" i="30"/>
  <c r="J31" i="30" s="1"/>
  <c r="D31" i="30"/>
  <c r="C31" i="30"/>
  <c r="C9" i="30"/>
  <c r="G9" i="30"/>
  <c r="J9" i="30" s="1"/>
  <c r="D9" i="30"/>
  <c r="G18" i="30"/>
  <c r="J18" i="30" s="1"/>
  <c r="D18" i="30"/>
  <c r="C18" i="30"/>
  <c r="G32" i="30"/>
  <c r="J32" i="30" s="1"/>
  <c r="D32" i="30"/>
  <c r="C32" i="30"/>
  <c r="C10" i="30"/>
  <c r="G10" i="30"/>
  <c r="J10" i="30" s="1"/>
  <c r="D10" i="30"/>
  <c r="G19" i="30"/>
  <c r="J19" i="30" s="1"/>
  <c r="D19" i="30"/>
  <c r="C19" i="30"/>
  <c r="G11" i="30"/>
  <c r="J11" i="30" s="1"/>
  <c r="D11" i="30"/>
  <c r="C11" i="30"/>
  <c r="D20" i="30"/>
  <c r="C20" i="30"/>
  <c r="G20" i="30"/>
  <c r="J20" i="30" s="1"/>
  <c r="G22" i="30"/>
  <c r="J22" i="30" s="1"/>
  <c r="D22" i="30"/>
  <c r="C22" i="30"/>
  <c r="D33" i="30"/>
  <c r="F33" i="30" s="1"/>
  <c r="N33" i="30" s="1"/>
  <c r="G33" i="30"/>
  <c r="J33" i="30" s="1"/>
  <c r="C15" i="30"/>
  <c r="D15" i="30"/>
  <c r="C21" i="30"/>
  <c r="D21" i="30"/>
  <c r="D4" i="30"/>
  <c r="D7" i="30"/>
  <c r="T18" i="30"/>
  <c r="C24" i="30"/>
  <c r="D24" i="30"/>
  <c r="C4" i="30"/>
  <c r="C7" i="30"/>
  <c r="G21" i="30"/>
  <c r="J21" i="30" s="1"/>
  <c r="G4" i="30"/>
  <c r="J4" i="30" s="1"/>
  <c r="G7" i="30"/>
  <c r="J7" i="30" s="1"/>
  <c r="G24" i="30"/>
  <c r="J24" i="30" s="1"/>
  <c r="C16" i="30"/>
  <c r="D16" i="30"/>
  <c r="G16" i="30"/>
  <c r="J16" i="30" s="1"/>
  <c r="G4" i="29"/>
  <c r="J4" i="29" s="1"/>
  <c r="C4" i="29"/>
  <c r="D12" i="28"/>
  <c r="G12" i="28"/>
  <c r="J12" i="28" s="1"/>
  <c r="C12" i="28"/>
  <c r="G7" i="29"/>
  <c r="J7" i="29" s="1"/>
  <c r="C7" i="29"/>
  <c r="G18" i="29"/>
  <c r="J18" i="29" s="1"/>
  <c r="C18" i="29"/>
  <c r="C33" i="29"/>
  <c r="G12" i="29"/>
  <c r="J12" i="29" s="1"/>
  <c r="D12" i="29"/>
  <c r="C12" i="29"/>
  <c r="G13" i="29"/>
  <c r="J13" i="29" s="1"/>
  <c r="D13" i="29"/>
  <c r="C13" i="29"/>
  <c r="G6" i="29"/>
  <c r="J6" i="29" s="1"/>
  <c r="D6" i="29"/>
  <c r="C6" i="29"/>
  <c r="G14" i="29"/>
  <c r="J14" i="29" s="1"/>
  <c r="D14" i="29"/>
  <c r="C14" i="29"/>
  <c r="G25" i="29"/>
  <c r="J25" i="29" s="1"/>
  <c r="D25" i="29"/>
  <c r="C25" i="29"/>
  <c r="G15" i="29"/>
  <c r="J15" i="29" s="1"/>
  <c r="D15" i="29"/>
  <c r="C15" i="29"/>
  <c r="D26" i="29"/>
  <c r="C26" i="29"/>
  <c r="G26" i="29"/>
  <c r="J26" i="29" s="1"/>
  <c r="G27" i="29"/>
  <c r="J27" i="29" s="1"/>
  <c r="D27" i="29"/>
  <c r="C27" i="29"/>
  <c r="G8" i="29"/>
  <c r="J8" i="29" s="1"/>
  <c r="D8" i="29"/>
  <c r="C8" i="29"/>
  <c r="G28" i="29"/>
  <c r="J28" i="29" s="1"/>
  <c r="D28" i="29"/>
  <c r="C28" i="29"/>
  <c r="C9" i="29"/>
  <c r="G9" i="29"/>
  <c r="J9" i="29" s="1"/>
  <c r="D9" i="29"/>
  <c r="G29" i="29"/>
  <c r="J29" i="29" s="1"/>
  <c r="D29" i="29"/>
  <c r="C29" i="29"/>
  <c r="G17" i="29"/>
  <c r="J17" i="29" s="1"/>
  <c r="D17" i="29"/>
  <c r="C17" i="29"/>
  <c r="G30" i="29"/>
  <c r="J30" i="29" s="1"/>
  <c r="D30" i="29"/>
  <c r="C30" i="29"/>
  <c r="G31" i="29"/>
  <c r="J31" i="29" s="1"/>
  <c r="D31" i="29"/>
  <c r="C31" i="29"/>
  <c r="G32" i="29"/>
  <c r="J32" i="29" s="1"/>
  <c r="D32" i="29"/>
  <c r="C32" i="29"/>
  <c r="G11" i="29"/>
  <c r="J11" i="29" s="1"/>
  <c r="D11" i="29"/>
  <c r="C11" i="29"/>
  <c r="G19" i="29"/>
  <c r="J19" i="29" s="1"/>
  <c r="D19" i="29"/>
  <c r="C19" i="29"/>
  <c r="D20" i="29"/>
  <c r="C20" i="29"/>
  <c r="G20" i="29"/>
  <c r="J20" i="29" s="1"/>
  <c r="F49" i="29" a="1"/>
  <c r="F49" i="29" s="1"/>
  <c r="D39" i="29" s="1"/>
  <c r="E42" i="29" a="1"/>
  <c r="E42" i="29" s="1"/>
  <c r="E41" i="29" a="1"/>
  <c r="E41" i="29" s="1"/>
  <c r="C37" i="29" a="1"/>
  <c r="C37" i="29" s="1"/>
  <c r="G3" i="29"/>
  <c r="J3" i="29" s="1"/>
  <c r="D3" i="29"/>
  <c r="C3" i="29"/>
  <c r="G22" i="29"/>
  <c r="J22" i="29" s="1"/>
  <c r="D22" i="29"/>
  <c r="C22" i="29"/>
  <c r="G5" i="29"/>
  <c r="J5" i="29" s="1"/>
  <c r="D5" i="29"/>
  <c r="C5" i="29"/>
  <c r="G23" i="29"/>
  <c r="J23" i="29" s="1"/>
  <c r="D23" i="29"/>
  <c r="C23" i="29"/>
  <c r="D33" i="29"/>
  <c r="D18" i="29"/>
  <c r="G33" i="29"/>
  <c r="J33" i="29" s="1"/>
  <c r="D10" i="29"/>
  <c r="F10" i="29" s="1"/>
  <c r="C21" i="29"/>
  <c r="F21" i="29" s="1"/>
  <c r="D4" i="29"/>
  <c r="D7" i="29"/>
  <c r="C24" i="29"/>
  <c r="G10" i="29"/>
  <c r="J10" i="29" s="1"/>
  <c r="D24" i="29"/>
  <c r="G21" i="29"/>
  <c r="J21" i="29" s="1"/>
  <c r="G24" i="29"/>
  <c r="J24" i="29" s="1"/>
  <c r="C16" i="29"/>
  <c r="D16" i="29"/>
  <c r="G16" i="29"/>
  <c r="J16" i="29" s="1"/>
  <c r="G33" i="28"/>
  <c r="J33" i="28" s="1"/>
  <c r="D33" i="28"/>
  <c r="C33" i="28"/>
  <c r="G24" i="28"/>
  <c r="J24" i="28" s="1"/>
  <c r="D24" i="28"/>
  <c r="C24" i="28"/>
  <c r="G5" i="28"/>
  <c r="J5" i="28" s="1"/>
  <c r="D5" i="28"/>
  <c r="C5" i="28"/>
  <c r="G25" i="28"/>
  <c r="J25" i="28" s="1"/>
  <c r="D25" i="28"/>
  <c r="C25" i="28"/>
  <c r="G14" i="28"/>
  <c r="J14" i="28" s="1"/>
  <c r="D14" i="28"/>
  <c r="C14" i="28"/>
  <c r="D26" i="28"/>
  <c r="C26" i="28"/>
  <c r="G26" i="28"/>
  <c r="J26" i="28" s="1"/>
  <c r="G27" i="28"/>
  <c r="J27" i="28" s="1"/>
  <c r="D27" i="28"/>
  <c r="C27" i="28"/>
  <c r="G28" i="28"/>
  <c r="J28" i="28" s="1"/>
  <c r="D28" i="28"/>
  <c r="C28" i="28"/>
  <c r="G13" i="28"/>
  <c r="J13" i="28" s="1"/>
  <c r="D13" i="28"/>
  <c r="C13" i="28"/>
  <c r="G29" i="28"/>
  <c r="J29" i="28" s="1"/>
  <c r="D29" i="28"/>
  <c r="C29" i="28"/>
  <c r="G8" i="28"/>
  <c r="J8" i="28" s="1"/>
  <c r="D8" i="28"/>
  <c r="C8" i="28"/>
  <c r="G17" i="28"/>
  <c r="J17" i="28" s="1"/>
  <c r="D17" i="28"/>
  <c r="C17" i="28"/>
  <c r="G31" i="28"/>
  <c r="J31" i="28" s="1"/>
  <c r="D31" i="28"/>
  <c r="C31" i="28"/>
  <c r="F31" i="28" s="1"/>
  <c r="N31" i="28" s="1"/>
  <c r="C9" i="28"/>
  <c r="G9" i="28"/>
  <c r="J9" i="28" s="1"/>
  <c r="D9" i="28"/>
  <c r="G18" i="28"/>
  <c r="J18" i="28" s="1"/>
  <c r="D18" i="28"/>
  <c r="C18" i="28"/>
  <c r="G32" i="28"/>
  <c r="J32" i="28" s="1"/>
  <c r="D32" i="28"/>
  <c r="F32" i="28" s="1"/>
  <c r="N32" i="28" s="1"/>
  <c r="C32" i="28"/>
  <c r="G11" i="28"/>
  <c r="J11" i="28" s="1"/>
  <c r="D11" i="28"/>
  <c r="C11" i="28"/>
  <c r="D20" i="28"/>
  <c r="C20" i="28"/>
  <c r="G20" i="28"/>
  <c r="J20" i="28" s="1"/>
  <c r="G19" i="28"/>
  <c r="J19" i="28" s="1"/>
  <c r="D19" i="28"/>
  <c r="C19" i="28"/>
  <c r="D6" i="28"/>
  <c r="G6" i="28"/>
  <c r="J6" i="28" s="1"/>
  <c r="C6" i="28"/>
  <c r="C10" i="28"/>
  <c r="D10" i="28"/>
  <c r="G10" i="28"/>
  <c r="J10" i="28" s="1"/>
  <c r="G22" i="28"/>
  <c r="J22" i="28" s="1"/>
  <c r="D22" i="28"/>
  <c r="C22" i="28"/>
  <c r="F49" i="28" a="1"/>
  <c r="F49" i="28" s="1"/>
  <c r="J42" i="28" a="1"/>
  <c r="J42" i="28" s="1"/>
  <c r="F42" i="28" a="1"/>
  <c r="F42" i="28" s="1"/>
  <c r="J41" i="28" a="1"/>
  <c r="J41" i="28" s="1"/>
  <c r="D37" i="28" a="1"/>
  <c r="D37" i="28" s="1"/>
  <c r="F41" i="28" a="1"/>
  <c r="F41" i="28" s="1"/>
  <c r="C3" i="28"/>
  <c r="G3" i="28"/>
  <c r="J3" i="28" s="1"/>
  <c r="D3" i="28"/>
  <c r="G23" i="28"/>
  <c r="J23" i="28" s="1"/>
  <c r="D23" i="28"/>
  <c r="C23" i="28"/>
  <c r="C30" i="28"/>
  <c r="D30" i="28"/>
  <c r="F33" i="28"/>
  <c r="N33" i="28" s="1"/>
  <c r="G30" i="28"/>
  <c r="J30" i="28" s="1"/>
  <c r="C15" i="28"/>
  <c r="D15" i="28"/>
  <c r="C4" i="28"/>
  <c r="C7" i="28"/>
  <c r="D4" i="28"/>
  <c r="D7" i="28"/>
  <c r="T18" i="28"/>
  <c r="D21" i="28"/>
  <c r="F21" i="28" s="1"/>
  <c r="N21" i="28" s="1"/>
  <c r="G15" i="28"/>
  <c r="J15" i="28" s="1"/>
  <c r="G21" i="28"/>
  <c r="J21" i="28" s="1"/>
  <c r="G4" i="28"/>
  <c r="J4" i="28" s="1"/>
  <c r="G7" i="28"/>
  <c r="J7" i="28" s="1"/>
  <c r="C16" i="28"/>
  <c r="D16" i="28"/>
  <c r="G16" i="28"/>
  <c r="J16" i="28" s="1"/>
  <c r="C12" i="27"/>
  <c r="G12" i="27"/>
  <c r="J12" i="27" s="1"/>
  <c r="D12" i="27"/>
  <c r="G15" i="27"/>
  <c r="J15" i="27" s="1"/>
  <c r="G14" i="27"/>
  <c r="J14" i="27" s="1"/>
  <c r="D14" i="27"/>
  <c r="C14" i="27"/>
  <c r="G5" i="27"/>
  <c r="J5" i="27" s="1"/>
  <c r="D5" i="27"/>
  <c r="C5" i="27"/>
  <c r="G27" i="27"/>
  <c r="J27" i="27" s="1"/>
  <c r="D27" i="27"/>
  <c r="C27" i="27"/>
  <c r="G23" i="27"/>
  <c r="J23" i="27" s="1"/>
  <c r="D23" i="27"/>
  <c r="C23" i="27"/>
  <c r="G8" i="27"/>
  <c r="J8" i="27" s="1"/>
  <c r="D8" i="27"/>
  <c r="C8" i="27"/>
  <c r="G28" i="27"/>
  <c r="J28" i="27" s="1"/>
  <c r="D28" i="27"/>
  <c r="C28" i="27"/>
  <c r="G6" i="27"/>
  <c r="J6" i="27" s="1"/>
  <c r="D6" i="27"/>
  <c r="C6" i="27"/>
  <c r="C9" i="27"/>
  <c r="G9" i="27"/>
  <c r="J9" i="27" s="1"/>
  <c r="D9" i="27"/>
  <c r="G29" i="27"/>
  <c r="J29" i="27" s="1"/>
  <c r="D29" i="27"/>
  <c r="C29" i="27"/>
  <c r="D26" i="27"/>
  <c r="C26" i="27"/>
  <c r="G26" i="27"/>
  <c r="J26" i="27" s="1"/>
  <c r="G30" i="27"/>
  <c r="J30" i="27" s="1"/>
  <c r="D30" i="27"/>
  <c r="C30" i="27"/>
  <c r="G17" i="27"/>
  <c r="J17" i="27" s="1"/>
  <c r="D17" i="27"/>
  <c r="C17" i="27"/>
  <c r="G31" i="27"/>
  <c r="J31" i="27" s="1"/>
  <c r="D31" i="27"/>
  <c r="C31" i="27"/>
  <c r="G18" i="27"/>
  <c r="J18" i="27" s="1"/>
  <c r="D18" i="27"/>
  <c r="C18" i="27"/>
  <c r="G32" i="27"/>
  <c r="J32" i="27" s="1"/>
  <c r="D32" i="27"/>
  <c r="C32" i="27"/>
  <c r="G13" i="27"/>
  <c r="J13" i="27" s="1"/>
  <c r="D13" i="27"/>
  <c r="C13" i="27"/>
  <c r="G11" i="27"/>
  <c r="J11" i="27" s="1"/>
  <c r="D11" i="27"/>
  <c r="C11" i="27"/>
  <c r="G19" i="27"/>
  <c r="J19" i="27" s="1"/>
  <c r="D19" i="27"/>
  <c r="C19" i="27"/>
  <c r="G33" i="27"/>
  <c r="J33" i="27" s="1"/>
  <c r="D33" i="27"/>
  <c r="C33" i="27"/>
  <c r="G25" i="27"/>
  <c r="J25" i="27" s="1"/>
  <c r="D25" i="27"/>
  <c r="C25" i="27"/>
  <c r="D20" i="27"/>
  <c r="C20" i="27"/>
  <c r="G20" i="27"/>
  <c r="J20" i="27" s="1"/>
  <c r="G22" i="27"/>
  <c r="J22" i="27" s="1"/>
  <c r="D22" i="27"/>
  <c r="C22" i="27"/>
  <c r="F49" i="27" a="1"/>
  <c r="F49" i="27" s="1"/>
  <c r="J42" i="27" a="1"/>
  <c r="J42" i="27" s="1"/>
  <c r="F42" i="27" a="1"/>
  <c r="F42" i="27" s="1"/>
  <c r="J41" i="27" a="1"/>
  <c r="J41" i="27" s="1"/>
  <c r="D37" i="27" a="1"/>
  <c r="D37" i="27" s="1"/>
  <c r="F41" i="27" a="1"/>
  <c r="F41" i="27" s="1"/>
  <c r="G3" i="27"/>
  <c r="J3" i="27" s="1"/>
  <c r="D3" i="27"/>
  <c r="C3" i="27"/>
  <c r="D12" i="26"/>
  <c r="G12" i="26"/>
  <c r="J12" i="26" s="1"/>
  <c r="C12" i="26"/>
  <c r="C15" i="27"/>
  <c r="D15" i="27"/>
  <c r="D10" i="27"/>
  <c r="F10" i="27" s="1"/>
  <c r="N10" i="27" s="1"/>
  <c r="C21" i="27"/>
  <c r="F21" i="27" s="1"/>
  <c r="N21" i="27" s="1"/>
  <c r="D4" i="27"/>
  <c r="F4" i="27" s="1"/>
  <c r="N4" i="27" s="1"/>
  <c r="D7" i="27"/>
  <c r="F7" i="27" s="1"/>
  <c r="N7" i="27" s="1"/>
  <c r="T18" i="27"/>
  <c r="C24" i="27"/>
  <c r="G10" i="27"/>
  <c r="J10" i="27" s="1"/>
  <c r="D24" i="27"/>
  <c r="G21" i="27"/>
  <c r="J21" i="27" s="1"/>
  <c r="G4" i="27"/>
  <c r="J4" i="27" s="1"/>
  <c r="G7" i="27"/>
  <c r="J7" i="27" s="1"/>
  <c r="G24" i="27"/>
  <c r="J24" i="27" s="1"/>
  <c r="C16" i="27"/>
  <c r="D16" i="27"/>
  <c r="G16" i="27"/>
  <c r="J16" i="27" s="1"/>
  <c r="D26" i="26"/>
  <c r="C26" i="26"/>
  <c r="G26" i="26"/>
  <c r="J26" i="26" s="1"/>
  <c r="G15" i="26"/>
  <c r="J15" i="26" s="1"/>
  <c r="D15" i="26"/>
  <c r="C15" i="26"/>
  <c r="G27" i="26"/>
  <c r="J27" i="26" s="1"/>
  <c r="D27" i="26"/>
  <c r="C27" i="26"/>
  <c r="G6" i="26"/>
  <c r="J6" i="26" s="1"/>
  <c r="D6" i="26"/>
  <c r="C6" i="26"/>
  <c r="G28" i="26"/>
  <c r="J28" i="26" s="1"/>
  <c r="D28" i="26"/>
  <c r="C28" i="26"/>
  <c r="G29" i="26"/>
  <c r="J29" i="26" s="1"/>
  <c r="D29" i="26"/>
  <c r="C29" i="26"/>
  <c r="G13" i="26"/>
  <c r="J13" i="26" s="1"/>
  <c r="D13" i="26"/>
  <c r="C13" i="26"/>
  <c r="G8" i="26"/>
  <c r="J8" i="26" s="1"/>
  <c r="D8" i="26"/>
  <c r="C8" i="26"/>
  <c r="G30" i="26"/>
  <c r="J30" i="26" s="1"/>
  <c r="D30" i="26"/>
  <c r="C30" i="26"/>
  <c r="G17" i="26"/>
  <c r="J17" i="26" s="1"/>
  <c r="D17" i="26"/>
  <c r="C17" i="26"/>
  <c r="G31" i="26"/>
  <c r="J31" i="26" s="1"/>
  <c r="D31" i="26"/>
  <c r="C31" i="26"/>
  <c r="C9" i="26"/>
  <c r="G9" i="26"/>
  <c r="J9" i="26" s="1"/>
  <c r="D9" i="26"/>
  <c r="G18" i="26"/>
  <c r="J18" i="26" s="1"/>
  <c r="D18" i="26"/>
  <c r="C18" i="26"/>
  <c r="G25" i="26"/>
  <c r="J25" i="26" s="1"/>
  <c r="D25" i="26"/>
  <c r="C25" i="26"/>
  <c r="G32" i="26"/>
  <c r="J32" i="26" s="1"/>
  <c r="D32" i="26"/>
  <c r="C32" i="26"/>
  <c r="G5" i="26"/>
  <c r="J5" i="26" s="1"/>
  <c r="D5" i="26"/>
  <c r="C5" i="26"/>
  <c r="G10" i="26"/>
  <c r="J10" i="26" s="1"/>
  <c r="D10" i="26"/>
  <c r="C10" i="26"/>
  <c r="G19" i="26"/>
  <c r="J19" i="26" s="1"/>
  <c r="D19" i="26"/>
  <c r="C19" i="26"/>
  <c r="F49" i="26" a="1"/>
  <c r="F49" i="26" s="1"/>
  <c r="J42" i="26" a="1"/>
  <c r="J42" i="26" s="1"/>
  <c r="F42" i="26" a="1"/>
  <c r="F42" i="26" s="1"/>
  <c r="J41" i="26" a="1"/>
  <c r="J41" i="26" s="1"/>
  <c r="D37" i="26" a="1"/>
  <c r="D37" i="26" s="1"/>
  <c r="F41" i="26" a="1"/>
  <c r="F41" i="26" s="1"/>
  <c r="G3" i="26"/>
  <c r="J3" i="26" s="1"/>
  <c r="D3" i="26"/>
  <c r="C3" i="26"/>
  <c r="D20" i="26"/>
  <c r="C20" i="26"/>
  <c r="G20" i="26"/>
  <c r="J20" i="26" s="1"/>
  <c r="G11" i="26"/>
  <c r="J11" i="26" s="1"/>
  <c r="D11" i="26"/>
  <c r="C11" i="26"/>
  <c r="G14" i="26"/>
  <c r="J14" i="26" s="1"/>
  <c r="D14" i="26"/>
  <c r="C14" i="26"/>
  <c r="G23" i="26"/>
  <c r="J23" i="26" s="1"/>
  <c r="D23" i="26"/>
  <c r="C23" i="26"/>
  <c r="G22" i="26"/>
  <c r="J22" i="26" s="1"/>
  <c r="D22" i="26"/>
  <c r="C22" i="26"/>
  <c r="C33" i="26"/>
  <c r="D33" i="26"/>
  <c r="F33" i="26"/>
  <c r="N33" i="26" s="1"/>
  <c r="G33" i="26"/>
  <c r="J33" i="26" s="1"/>
  <c r="C21" i="26"/>
  <c r="F21" i="26" s="1"/>
  <c r="N21" i="26" s="1"/>
  <c r="C7" i="26"/>
  <c r="D4" i="26"/>
  <c r="D7" i="26"/>
  <c r="T18" i="26"/>
  <c r="C24" i="26"/>
  <c r="D24" i="26"/>
  <c r="C4" i="26"/>
  <c r="G21" i="26"/>
  <c r="J21" i="26" s="1"/>
  <c r="G4" i="26"/>
  <c r="J4" i="26" s="1"/>
  <c r="G7" i="26"/>
  <c r="J7" i="26" s="1"/>
  <c r="G24" i="26"/>
  <c r="J24" i="26" s="1"/>
  <c r="C16" i="26"/>
  <c r="D16" i="26"/>
  <c r="G16" i="26"/>
  <c r="J16" i="26" s="1"/>
  <c r="G31" i="25"/>
  <c r="J31" i="25" s="1"/>
  <c r="D31" i="25"/>
  <c r="C31" i="25"/>
  <c r="D33" i="25"/>
  <c r="C12" i="25"/>
  <c r="D12" i="25"/>
  <c r="G14" i="25"/>
  <c r="J14" i="25" s="1"/>
  <c r="D14" i="25"/>
  <c r="C14" i="25"/>
  <c r="G8" i="25"/>
  <c r="J8" i="25" s="1"/>
  <c r="D8" i="25"/>
  <c r="C8" i="25"/>
  <c r="G27" i="25"/>
  <c r="J27" i="25" s="1"/>
  <c r="D27" i="25"/>
  <c r="C27" i="25"/>
  <c r="C10" i="25"/>
  <c r="G10" i="25"/>
  <c r="J10" i="25" s="1"/>
  <c r="D10" i="25"/>
  <c r="G5" i="25"/>
  <c r="J5" i="25" s="1"/>
  <c r="D5" i="25"/>
  <c r="C5" i="25"/>
  <c r="D20" i="25"/>
  <c r="C20" i="25"/>
  <c r="G20" i="25"/>
  <c r="J20" i="25" s="1"/>
  <c r="G29" i="25"/>
  <c r="J29" i="25" s="1"/>
  <c r="D29" i="25"/>
  <c r="C29" i="25"/>
  <c r="G32" i="25"/>
  <c r="J32" i="25" s="1"/>
  <c r="D32" i="25"/>
  <c r="C32" i="25"/>
  <c r="G25" i="25"/>
  <c r="J25" i="25" s="1"/>
  <c r="D25" i="25"/>
  <c r="C25" i="25"/>
  <c r="G11" i="25"/>
  <c r="J11" i="25" s="1"/>
  <c r="C11" i="25"/>
  <c r="D11" i="25"/>
  <c r="G17" i="25"/>
  <c r="J17" i="25" s="1"/>
  <c r="D17" i="25"/>
  <c r="C17" i="25"/>
  <c r="C19" i="25"/>
  <c r="G19" i="25"/>
  <c r="J19" i="25" s="1"/>
  <c r="D19" i="25"/>
  <c r="G22" i="25"/>
  <c r="J22" i="25" s="1"/>
  <c r="D22" i="25"/>
  <c r="C22" i="25"/>
  <c r="G15" i="25"/>
  <c r="J15" i="25" s="1"/>
  <c r="D15" i="25"/>
  <c r="C15" i="25"/>
  <c r="G18" i="25"/>
  <c r="J18" i="25" s="1"/>
  <c r="D18" i="25"/>
  <c r="C18" i="25"/>
  <c r="F49" i="25" a="1"/>
  <c r="F49" i="25" s="1"/>
  <c r="D26" i="25"/>
  <c r="C26" i="25"/>
  <c r="G26" i="25"/>
  <c r="J26" i="25" s="1"/>
  <c r="D6" i="25"/>
  <c r="G6" i="25"/>
  <c r="J6" i="25" s="1"/>
  <c r="C6" i="25"/>
  <c r="C9" i="25"/>
  <c r="G9" i="25"/>
  <c r="J9" i="25" s="1"/>
  <c r="D9" i="25"/>
  <c r="G4" i="25"/>
  <c r="J4" i="25" s="1"/>
  <c r="D4" i="25"/>
  <c r="C4" i="25"/>
  <c r="D16" i="25"/>
  <c r="C16" i="25"/>
  <c r="G16" i="25"/>
  <c r="J16" i="25" s="1"/>
  <c r="G13" i="25"/>
  <c r="J13" i="25" s="1"/>
  <c r="D13" i="25"/>
  <c r="C13" i="25"/>
  <c r="C33" i="25"/>
  <c r="C23" i="25"/>
  <c r="C30" i="25"/>
  <c r="D3" i="25"/>
  <c r="D23" i="25"/>
  <c r="D30" i="25"/>
  <c r="G33" i="25"/>
  <c r="J33" i="25" s="1"/>
  <c r="G23" i="25"/>
  <c r="J23" i="25" s="1"/>
  <c r="G30" i="25"/>
  <c r="J30" i="25" s="1"/>
  <c r="G3" i="25"/>
  <c r="J3" i="25" s="1"/>
  <c r="C21" i="25"/>
  <c r="F21" i="25" s="1"/>
  <c r="N21" i="25" s="1"/>
  <c r="T18" i="25"/>
  <c r="D24" i="25"/>
  <c r="G21" i="25"/>
  <c r="J21" i="25" s="1"/>
  <c r="C24" i="25"/>
  <c r="C7" i="25"/>
  <c r="J24" i="25"/>
  <c r="D28" i="25"/>
  <c r="F28" i="25" s="1"/>
  <c r="N28" i="25" s="1"/>
  <c r="D37" i="25" a="1"/>
  <c r="D37" i="25" s="1"/>
  <c r="J41" i="25" a="1"/>
  <c r="J41" i="25" s="1"/>
  <c r="F41" i="25" a="1"/>
  <c r="F41" i="25" s="1"/>
  <c r="G28" i="25"/>
  <c r="J28" i="25" s="1"/>
  <c r="D7" i="25"/>
  <c r="F42" i="25" a="1"/>
  <c r="F42" i="25" s="1"/>
  <c r="J7" i="25"/>
  <c r="U22" i="25" s="1"/>
  <c r="J42" i="25" a="1"/>
  <c r="J42" i="25" s="1"/>
  <c r="G31" i="22"/>
  <c r="J31" i="22" s="1"/>
  <c r="G12" i="23"/>
  <c r="G22" i="23"/>
  <c r="J22" i="23" s="1"/>
  <c r="J42" i="23" a="1"/>
  <c r="J42" i="23" s="1"/>
  <c r="F42" i="23" a="1"/>
  <c r="F42" i="23" s="1"/>
  <c r="G3" i="23"/>
  <c r="G4" i="23"/>
  <c r="G30" i="23"/>
  <c r="J30" i="23" s="1"/>
  <c r="G25" i="23"/>
  <c r="J25" i="23" s="1"/>
  <c r="G31" i="23"/>
  <c r="J31" i="23" s="1"/>
  <c r="G5" i="23"/>
  <c r="G17" i="23"/>
  <c r="J17" i="23" s="1"/>
  <c r="G26" i="23"/>
  <c r="J26" i="23" s="1"/>
  <c r="G27" i="23"/>
  <c r="J27" i="23" s="1"/>
  <c r="G32" i="23"/>
  <c r="J32" i="23" s="1"/>
  <c r="G23" i="23"/>
  <c r="J23" i="23" s="1"/>
  <c r="G9" i="23"/>
  <c r="G18" i="23"/>
  <c r="J18" i="23" s="1"/>
  <c r="G13" i="23"/>
  <c r="J13" i="23" s="1"/>
  <c r="G14" i="23"/>
  <c r="J14" i="23" s="1"/>
  <c r="G15" i="23"/>
  <c r="J15" i="23" s="1"/>
  <c r="G29" i="23"/>
  <c r="J29" i="23" s="1"/>
  <c r="G10" i="23"/>
  <c r="G19" i="23"/>
  <c r="J19" i="23" s="1"/>
  <c r="G20" i="23"/>
  <c r="J20" i="23" s="1"/>
  <c r="G24" i="23"/>
  <c r="J24" i="23" s="1"/>
  <c r="G28" i="23"/>
  <c r="J28" i="23" s="1"/>
  <c r="G7" i="23"/>
  <c r="G8" i="23"/>
  <c r="G11" i="23"/>
  <c r="G6" i="23"/>
  <c r="G33" i="23"/>
  <c r="J33" i="23" s="1"/>
  <c r="T18" i="23"/>
  <c r="G21" i="23"/>
  <c r="J21" i="23" s="1"/>
  <c r="G16" i="23"/>
  <c r="J16" i="23" s="1"/>
  <c r="G14" i="22"/>
  <c r="J14" i="22" s="1"/>
  <c r="G9" i="22"/>
  <c r="G19" i="22"/>
  <c r="J19" i="22" s="1"/>
  <c r="G20" i="22"/>
  <c r="J20" i="22" s="1"/>
  <c r="J42" i="22" a="1"/>
  <c r="J42" i="22" s="1"/>
  <c r="F42" i="22" a="1"/>
  <c r="F42" i="22" s="1"/>
  <c r="G3" i="22"/>
  <c r="G4" i="22"/>
  <c r="G26" i="22"/>
  <c r="J26" i="22" s="1"/>
  <c r="G27" i="22"/>
  <c r="J27" i="22" s="1"/>
  <c r="G15" i="22"/>
  <c r="J15" i="22" s="1"/>
  <c r="G30" i="22"/>
  <c r="J30" i="22" s="1"/>
  <c r="G10" i="22"/>
  <c r="G24" i="22"/>
  <c r="J24" i="22" s="1"/>
  <c r="G25" i="22"/>
  <c r="J25" i="22" s="1"/>
  <c r="G13" i="22"/>
  <c r="J13" i="22" s="1"/>
  <c r="G5" i="22"/>
  <c r="G28" i="22"/>
  <c r="J28" i="22" s="1"/>
  <c r="G6" i="22"/>
  <c r="G29" i="22"/>
  <c r="J29" i="22" s="1"/>
  <c r="G7" i="22"/>
  <c r="G16" i="22"/>
  <c r="J16" i="22" s="1"/>
  <c r="G8" i="22"/>
  <c r="G17" i="22"/>
  <c r="J17" i="22" s="1"/>
  <c r="G18" i="22"/>
  <c r="J18" i="22" s="1"/>
  <c r="G23" i="22"/>
  <c r="J23" i="22" s="1"/>
  <c r="G32" i="22"/>
  <c r="J32" i="22" s="1"/>
  <c r="G11" i="22"/>
  <c r="G22" i="22"/>
  <c r="J22" i="22" s="1"/>
  <c r="C33" i="22"/>
  <c r="F33" i="22" s="1"/>
  <c r="N33" i="22" s="1"/>
  <c r="G33" i="22"/>
  <c r="J33" i="22" s="1"/>
  <c r="T18" i="22"/>
  <c r="G21" i="22"/>
  <c r="J21" i="22" s="1"/>
  <c r="B26" i="24"/>
  <c r="B31" i="24"/>
  <c r="B24" i="24"/>
  <c r="B32" i="24"/>
  <c r="B33" i="24"/>
  <c r="B30" i="24"/>
  <c r="B34" i="24"/>
  <c r="B35" i="24"/>
  <c r="B29" i="24"/>
  <c r="B25" i="24"/>
  <c r="F16" i="29" l="1"/>
  <c r="F12" i="34"/>
  <c r="N12" i="34" s="1"/>
  <c r="U13" i="29" a="1"/>
  <c r="U13" i="29" s="1"/>
  <c r="U14" i="29" a="1"/>
  <c r="U14" i="29" s="1"/>
  <c r="U12" i="29" a="1"/>
  <c r="U12" i="29" s="1"/>
  <c r="F13" i="34"/>
  <c r="N13" i="34" s="1"/>
  <c r="F3" i="34"/>
  <c r="N3" i="34" s="1"/>
  <c r="F26" i="34"/>
  <c r="N26" i="34" s="1"/>
  <c r="F14" i="34"/>
  <c r="N14" i="34" s="1"/>
  <c r="F5" i="34"/>
  <c r="N5" i="34" s="1"/>
  <c r="F20" i="34"/>
  <c r="N20" i="34" s="1"/>
  <c r="F27" i="34"/>
  <c r="N27" i="34" s="1"/>
  <c r="F15" i="34"/>
  <c r="N15" i="34" s="1"/>
  <c r="F24" i="34"/>
  <c r="N24" i="34" s="1"/>
  <c r="U22" i="33"/>
  <c r="F22" i="34"/>
  <c r="N22" i="34" s="1"/>
  <c r="U21" i="34"/>
  <c r="F31" i="34"/>
  <c r="N31" i="34" s="1"/>
  <c r="F14" i="33"/>
  <c r="N14" i="33" s="1"/>
  <c r="F30" i="34"/>
  <c r="N30" i="34" s="1"/>
  <c r="F25" i="34"/>
  <c r="N25" i="34" s="1"/>
  <c r="F19" i="34"/>
  <c r="N19" i="34" s="1"/>
  <c r="F21" i="34"/>
  <c r="N21" i="34" s="1"/>
  <c r="F10" i="34"/>
  <c r="N10" i="34" s="1"/>
  <c r="F18" i="34"/>
  <c r="N18" i="34" s="1"/>
  <c r="F9" i="34"/>
  <c r="N9" i="34" s="1"/>
  <c r="F28" i="32"/>
  <c r="N28" i="32" s="1"/>
  <c r="F16" i="34"/>
  <c r="N16" i="34" s="1"/>
  <c r="F7" i="34"/>
  <c r="N7" i="34" s="1"/>
  <c r="F32" i="34"/>
  <c r="N32" i="34" s="1"/>
  <c r="F6" i="34"/>
  <c r="N6" i="34" s="1"/>
  <c r="F12" i="33"/>
  <c r="N12" i="33" s="1"/>
  <c r="F23" i="34"/>
  <c r="N23" i="34" s="1"/>
  <c r="F17" i="34"/>
  <c r="N17" i="34" s="1"/>
  <c r="F11" i="34"/>
  <c r="N11" i="34" s="1"/>
  <c r="F7" i="33"/>
  <c r="N7" i="33" s="1"/>
  <c r="F4" i="33"/>
  <c r="N4" i="33" s="1"/>
  <c r="F8" i="34"/>
  <c r="N8" i="34" s="1"/>
  <c r="F29" i="34"/>
  <c r="N29" i="34" s="1"/>
  <c r="F30" i="33"/>
  <c r="N30" i="33" s="1"/>
  <c r="U19" i="33"/>
  <c r="F13" i="33"/>
  <c r="N13" i="33" s="1"/>
  <c r="F28" i="34"/>
  <c r="N28" i="34" s="1"/>
  <c r="U13" i="34" a="1"/>
  <c r="U13" i="34" s="1"/>
  <c r="T43" i="34" s="1"/>
  <c r="U20" i="34"/>
  <c r="J38" i="34"/>
  <c r="J37" i="34" s="1"/>
  <c r="J45" i="34"/>
  <c r="F25" i="33"/>
  <c r="N25" i="33" s="1"/>
  <c r="D38" i="34"/>
  <c r="F50" i="34"/>
  <c r="F39" i="34"/>
  <c r="U41" i="34" s="1"/>
  <c r="F20" i="32"/>
  <c r="N20" i="32" s="1"/>
  <c r="U18" i="34"/>
  <c r="U12" i="34" a="1"/>
  <c r="U12" i="34" s="1"/>
  <c r="U11" i="34" a="1"/>
  <c r="U11" i="34" s="1"/>
  <c r="U14" i="34" a="1"/>
  <c r="U14" i="34" s="1"/>
  <c r="F15" i="33"/>
  <c r="N15" i="33" s="1"/>
  <c r="F6" i="33"/>
  <c r="N6" i="33" s="1"/>
  <c r="F20" i="33"/>
  <c r="N20" i="33" s="1"/>
  <c r="F32" i="33"/>
  <c r="N32" i="33" s="1"/>
  <c r="F10" i="33"/>
  <c r="N10" i="33" s="1"/>
  <c r="F31" i="33"/>
  <c r="N31" i="33" s="1"/>
  <c r="F3" i="33"/>
  <c r="N3" i="33" s="1"/>
  <c r="F23" i="33"/>
  <c r="N23" i="33" s="1"/>
  <c r="F8" i="33"/>
  <c r="N8" i="33" s="1"/>
  <c r="F29" i="32"/>
  <c r="N29" i="32" s="1"/>
  <c r="F23" i="32"/>
  <c r="N23" i="32" s="1"/>
  <c r="F26" i="32"/>
  <c r="N26" i="32" s="1"/>
  <c r="F27" i="33"/>
  <c r="N27" i="33" s="1"/>
  <c r="F26" i="33"/>
  <c r="N26" i="33" s="1"/>
  <c r="U21" i="33"/>
  <c r="F3" i="32"/>
  <c r="N3" i="32" s="1"/>
  <c r="F9" i="33"/>
  <c r="N9" i="33" s="1"/>
  <c r="F22" i="33"/>
  <c r="N22" i="33" s="1"/>
  <c r="U20" i="33"/>
  <c r="F19" i="33"/>
  <c r="N19" i="33" s="1"/>
  <c r="F28" i="33"/>
  <c r="N28" i="33" s="1"/>
  <c r="F5" i="32"/>
  <c r="N5" i="32" s="1"/>
  <c r="U22" i="28"/>
  <c r="F24" i="31"/>
  <c r="N24" i="31" s="1"/>
  <c r="F30" i="32"/>
  <c r="N30" i="32" s="1"/>
  <c r="U12" i="33" a="1"/>
  <c r="U12" i="33" s="1"/>
  <c r="T42" i="33" s="1"/>
  <c r="F18" i="33"/>
  <c r="N18" i="33" s="1"/>
  <c r="F24" i="32"/>
  <c r="N24" i="32" s="1"/>
  <c r="F21" i="32"/>
  <c r="N21" i="32" s="1"/>
  <c r="U11" i="33" a="1"/>
  <c r="U11" i="33" s="1"/>
  <c r="T41" i="33" s="1"/>
  <c r="F3" i="31"/>
  <c r="D34" i="31" s="1"/>
  <c r="F11" i="33"/>
  <c r="N11" i="33" s="1"/>
  <c r="F17" i="33"/>
  <c r="N17" i="33" s="1"/>
  <c r="F5" i="33"/>
  <c r="N5" i="33" s="1"/>
  <c r="F24" i="33"/>
  <c r="N24" i="33" s="1"/>
  <c r="F14" i="32"/>
  <c r="N14" i="32" s="1"/>
  <c r="F29" i="33"/>
  <c r="N29" i="33" s="1"/>
  <c r="F25" i="32"/>
  <c r="N25" i="32" s="1"/>
  <c r="J38" i="33"/>
  <c r="J37" i="33" s="1"/>
  <c r="J45" i="33"/>
  <c r="F7" i="32"/>
  <c r="N7" i="32" s="1"/>
  <c r="F10" i="32"/>
  <c r="N10" i="32" s="1"/>
  <c r="F30" i="31"/>
  <c r="N30" i="31" s="1"/>
  <c r="F16" i="33"/>
  <c r="N16" i="33" s="1"/>
  <c r="U13" i="33" a="1"/>
  <c r="U13" i="33" s="1"/>
  <c r="T43" i="33" s="1"/>
  <c r="F20" i="30"/>
  <c r="N20" i="30" s="1"/>
  <c r="F29" i="31"/>
  <c r="N29" i="31" s="1"/>
  <c r="F18" i="32"/>
  <c r="N18" i="32" s="1"/>
  <c r="D38" i="33"/>
  <c r="F11" i="32"/>
  <c r="N11" i="32" s="1"/>
  <c r="U14" i="33" a="1"/>
  <c r="U14" i="33" s="1"/>
  <c r="F9" i="32"/>
  <c r="N9" i="32" s="1"/>
  <c r="F23" i="31"/>
  <c r="N23" i="31" s="1"/>
  <c r="F31" i="32"/>
  <c r="N31" i="32" s="1"/>
  <c r="F12" i="31"/>
  <c r="N12" i="31" s="1"/>
  <c r="F17" i="32"/>
  <c r="N17" i="32" s="1"/>
  <c r="F50" i="33"/>
  <c r="F39" i="33"/>
  <c r="U41" i="33" s="1"/>
  <c r="U18" i="33"/>
  <c r="F8" i="32"/>
  <c r="N8" i="32" s="1"/>
  <c r="F16" i="32"/>
  <c r="N16" i="32" s="1"/>
  <c r="F13" i="32"/>
  <c r="N13" i="32" s="1"/>
  <c r="F21" i="30"/>
  <c r="N21" i="30" s="1"/>
  <c r="F12" i="32"/>
  <c r="N12" i="32" s="1"/>
  <c r="F32" i="32"/>
  <c r="N32" i="32" s="1"/>
  <c r="F22" i="32"/>
  <c r="N22" i="32" s="1"/>
  <c r="F15" i="32"/>
  <c r="N15" i="32" s="1"/>
  <c r="F27" i="32"/>
  <c r="N27" i="32" s="1"/>
  <c r="F9" i="31"/>
  <c r="N9" i="31" s="1"/>
  <c r="F31" i="31"/>
  <c r="N31" i="31" s="1"/>
  <c r="F14" i="31"/>
  <c r="N14" i="31" s="1"/>
  <c r="U13" i="32" a="1"/>
  <c r="U13" i="32" s="1"/>
  <c r="T43" i="32" s="1"/>
  <c r="U14" i="31" a="1"/>
  <c r="U14" i="31" s="1"/>
  <c r="T44" i="31" s="1"/>
  <c r="F15" i="30"/>
  <c r="N15" i="30" s="1"/>
  <c r="F17" i="31"/>
  <c r="N17" i="31" s="1"/>
  <c r="F25" i="31"/>
  <c r="N25" i="31" s="1"/>
  <c r="U22" i="32"/>
  <c r="F22" i="31"/>
  <c r="N22" i="31" s="1"/>
  <c r="U22" i="29"/>
  <c r="F5" i="31"/>
  <c r="N5" i="31" s="1"/>
  <c r="F4" i="32"/>
  <c r="N4" i="32" s="1"/>
  <c r="F19" i="32"/>
  <c r="N19" i="32" s="1"/>
  <c r="U22" i="30"/>
  <c r="F10" i="31"/>
  <c r="N10" i="31" s="1"/>
  <c r="F32" i="31"/>
  <c r="N32" i="31" s="1"/>
  <c r="U21" i="32"/>
  <c r="U19" i="32"/>
  <c r="U20" i="32"/>
  <c r="F12" i="30"/>
  <c r="N12" i="30" s="1"/>
  <c r="U11" i="32" a="1"/>
  <c r="U11" i="32" s="1"/>
  <c r="F6" i="32"/>
  <c r="N6" i="32" s="1"/>
  <c r="F13" i="31"/>
  <c r="N13" i="31" s="1"/>
  <c r="F19" i="31"/>
  <c r="N19" i="31" s="1"/>
  <c r="U18" i="32"/>
  <c r="F27" i="31"/>
  <c r="N27" i="31" s="1"/>
  <c r="F6" i="31"/>
  <c r="N6" i="31" s="1"/>
  <c r="U12" i="32" a="1"/>
  <c r="U12" i="32" s="1"/>
  <c r="J38" i="32"/>
  <c r="J37" i="32" s="1"/>
  <c r="J45" i="32"/>
  <c r="U19" i="31"/>
  <c r="F26" i="31"/>
  <c r="N26" i="31" s="1"/>
  <c r="D38" i="32"/>
  <c r="U14" i="32" a="1"/>
  <c r="U14" i="32" s="1"/>
  <c r="F23" i="30"/>
  <c r="N23" i="30" s="1"/>
  <c r="F50" i="32"/>
  <c r="F39" i="32"/>
  <c r="U41" i="32" s="1"/>
  <c r="F29" i="30"/>
  <c r="N29" i="30" s="1"/>
  <c r="F11" i="31"/>
  <c r="N11" i="31" s="1"/>
  <c r="F16" i="30"/>
  <c r="N16" i="30" s="1"/>
  <c r="F8" i="31"/>
  <c r="N8" i="31" s="1"/>
  <c r="F4" i="29"/>
  <c r="F32" i="30"/>
  <c r="N32" i="30" s="1"/>
  <c r="F6" i="30"/>
  <c r="N6" i="30" s="1"/>
  <c r="U13" i="31" a="1"/>
  <c r="U13" i="31" s="1"/>
  <c r="T43" i="31" s="1"/>
  <c r="F20" i="31"/>
  <c r="N20" i="31" s="1"/>
  <c r="F18" i="30"/>
  <c r="N18" i="30" s="1"/>
  <c r="U22" i="31"/>
  <c r="U11" i="31" a="1"/>
  <c r="U11" i="31" s="1"/>
  <c r="T41" i="31" s="1"/>
  <c r="U14" i="30" a="1"/>
  <c r="U14" i="30" s="1"/>
  <c r="T44" i="30" s="1"/>
  <c r="F14" i="30"/>
  <c r="N14" i="30" s="1"/>
  <c r="U20" i="31"/>
  <c r="F31" i="30"/>
  <c r="N31" i="30" s="1"/>
  <c r="F25" i="30"/>
  <c r="N25" i="30" s="1"/>
  <c r="F21" i="31"/>
  <c r="N21" i="31" s="1"/>
  <c r="F5" i="30"/>
  <c r="N5" i="30" s="1"/>
  <c r="F28" i="31"/>
  <c r="N28" i="31" s="1"/>
  <c r="F13" i="30"/>
  <c r="N13" i="30" s="1"/>
  <c r="F18" i="31"/>
  <c r="N18" i="31" s="1"/>
  <c r="F15" i="31"/>
  <c r="N15" i="31" s="1"/>
  <c r="F8" i="30"/>
  <c r="N8" i="30" s="1"/>
  <c r="F33" i="31"/>
  <c r="N33" i="31" s="1"/>
  <c r="F12" i="28"/>
  <c r="N12" i="28" s="1"/>
  <c r="U12" i="31" a="1"/>
  <c r="U12" i="31" s="1"/>
  <c r="T42" i="31" s="1"/>
  <c r="J38" i="31"/>
  <c r="J37" i="31" s="1"/>
  <c r="J45" i="31"/>
  <c r="U21" i="31"/>
  <c r="F22" i="30"/>
  <c r="N22" i="30" s="1"/>
  <c r="F17" i="30"/>
  <c r="N17" i="30" s="1"/>
  <c r="F30" i="30"/>
  <c r="N30" i="30" s="1"/>
  <c r="F11" i="30"/>
  <c r="N11" i="30" s="1"/>
  <c r="F3" i="30"/>
  <c r="D34" i="30" s="1"/>
  <c r="U18" i="31"/>
  <c r="F7" i="30"/>
  <c r="N7" i="30" s="1"/>
  <c r="F4" i="30"/>
  <c r="N4" i="30" s="1"/>
  <c r="D38" i="31"/>
  <c r="F26" i="30"/>
  <c r="N26" i="30" s="1"/>
  <c r="F16" i="31"/>
  <c r="N16" i="31" s="1"/>
  <c r="F50" i="31"/>
  <c r="F39" i="31"/>
  <c r="U41" i="31" s="1"/>
  <c r="F33" i="25"/>
  <c r="N33" i="25" s="1"/>
  <c r="F9" i="30"/>
  <c r="N9" i="30" s="1"/>
  <c r="U21" i="30"/>
  <c r="U12" i="30" a="1"/>
  <c r="U12" i="30" s="1"/>
  <c r="T42" i="30" s="1"/>
  <c r="F20" i="29"/>
  <c r="F19" i="30"/>
  <c r="N19" i="30" s="1"/>
  <c r="U20" i="30"/>
  <c r="F18" i="29"/>
  <c r="F24" i="30"/>
  <c r="N24" i="30" s="1"/>
  <c r="F10" i="30"/>
  <c r="N10" i="30" s="1"/>
  <c r="F28" i="30"/>
  <c r="N28" i="30" s="1"/>
  <c r="U13" i="30" a="1"/>
  <c r="U13" i="30" s="1"/>
  <c r="T43" i="30" s="1"/>
  <c r="F17" i="28"/>
  <c r="N17" i="28" s="1"/>
  <c r="U19" i="29"/>
  <c r="U19" i="30"/>
  <c r="J38" i="30"/>
  <c r="J37" i="30" s="1"/>
  <c r="J45" i="30"/>
  <c r="F23" i="29"/>
  <c r="U11" i="30" a="1"/>
  <c r="U11" i="30" s="1"/>
  <c r="F13" i="29"/>
  <c r="U18" i="30"/>
  <c r="D38" i="30"/>
  <c r="F25" i="29"/>
  <c r="F50" i="30"/>
  <c r="F39" i="30"/>
  <c r="U41" i="30" s="1"/>
  <c r="F26" i="28"/>
  <c r="N26" i="28" s="1"/>
  <c r="F14" i="28"/>
  <c r="N14" i="28" s="1"/>
  <c r="F33" i="27"/>
  <c r="N33" i="27" s="1"/>
  <c r="F10" i="28"/>
  <c r="N10" i="28" s="1"/>
  <c r="F14" i="29"/>
  <c r="F3" i="29"/>
  <c r="F12" i="29"/>
  <c r="F19" i="28"/>
  <c r="N19" i="28" s="1"/>
  <c r="F28" i="29"/>
  <c r="F18" i="25"/>
  <c r="N18" i="25" s="1"/>
  <c r="F7" i="26"/>
  <c r="N7" i="26" s="1"/>
  <c r="F7" i="28"/>
  <c r="N7" i="28" s="1"/>
  <c r="F4" i="28"/>
  <c r="N4" i="28" s="1"/>
  <c r="F19" i="29"/>
  <c r="F32" i="29"/>
  <c r="F26" i="29"/>
  <c r="F3" i="28"/>
  <c r="D34" i="28" s="1"/>
  <c r="F5" i="29"/>
  <c r="F30" i="29"/>
  <c r="F6" i="29"/>
  <c r="F33" i="29"/>
  <c r="F28" i="28"/>
  <c r="N28" i="28" s="1"/>
  <c r="F12" i="26"/>
  <c r="N12" i="26" s="1"/>
  <c r="F8" i="29"/>
  <c r="F11" i="29"/>
  <c r="F31" i="29"/>
  <c r="F22" i="29"/>
  <c r="F15" i="29"/>
  <c r="F8" i="26"/>
  <c r="N8" i="26" s="1"/>
  <c r="F17" i="29"/>
  <c r="F6" i="28"/>
  <c r="N6" i="28" s="1"/>
  <c r="F29" i="28"/>
  <c r="N29" i="28" s="1"/>
  <c r="F29" i="29"/>
  <c r="F28" i="27"/>
  <c r="N28" i="27" s="1"/>
  <c r="U21" i="29"/>
  <c r="F20" i="28"/>
  <c r="N20" i="28" s="1"/>
  <c r="F9" i="29"/>
  <c r="F24" i="29"/>
  <c r="F31" i="27"/>
  <c r="N31" i="27" s="1"/>
  <c r="F25" i="28"/>
  <c r="N25" i="28" s="1"/>
  <c r="F27" i="29"/>
  <c r="U20" i="29"/>
  <c r="F11" i="27"/>
  <c r="N11" i="27" s="1"/>
  <c r="F15" i="28"/>
  <c r="N15" i="28" s="1"/>
  <c r="F23" i="27"/>
  <c r="N23" i="27" s="1"/>
  <c r="F27" i="28"/>
  <c r="N27" i="28" s="1"/>
  <c r="F7" i="29"/>
  <c r="F18" i="28"/>
  <c r="N18" i="28" s="1"/>
  <c r="F30" i="27"/>
  <c r="N30" i="27" s="1"/>
  <c r="U18" i="29"/>
  <c r="E38" i="29"/>
  <c r="E37" i="29" s="1"/>
  <c r="E45" i="29"/>
  <c r="F20" i="27"/>
  <c r="N20" i="27" s="1"/>
  <c r="C38" i="29"/>
  <c r="F22" i="28"/>
  <c r="N22" i="28" s="1"/>
  <c r="F50" i="29"/>
  <c r="U41" i="29"/>
  <c r="F8" i="28"/>
  <c r="N8" i="28" s="1"/>
  <c r="F30" i="28"/>
  <c r="N30" i="28" s="1"/>
  <c r="F13" i="28"/>
  <c r="N13" i="28" s="1"/>
  <c r="F23" i="28"/>
  <c r="N23" i="28" s="1"/>
  <c r="F17" i="27"/>
  <c r="N17" i="27" s="1"/>
  <c r="F11" i="28"/>
  <c r="N11" i="28" s="1"/>
  <c r="U13" i="28" a="1"/>
  <c r="U13" i="28" s="1"/>
  <c r="T43" i="28" s="1"/>
  <c r="F9" i="28"/>
  <c r="N9" i="28" s="1"/>
  <c r="F16" i="28"/>
  <c r="N16" i="28" s="1"/>
  <c r="F5" i="28"/>
  <c r="N5" i="28" s="1"/>
  <c r="F15" i="27"/>
  <c r="N15" i="27" s="1"/>
  <c r="U20" i="28"/>
  <c r="F24" i="28"/>
  <c r="N24" i="28" s="1"/>
  <c r="F18" i="27"/>
  <c r="N18" i="27" s="1"/>
  <c r="J38" i="28"/>
  <c r="J37" i="28" s="1"/>
  <c r="J45" i="28"/>
  <c r="U19" i="28"/>
  <c r="U21" i="28"/>
  <c r="F9" i="27"/>
  <c r="N9" i="27" s="1"/>
  <c r="F23" i="26"/>
  <c r="N23" i="26" s="1"/>
  <c r="F6" i="26"/>
  <c r="N6" i="26" s="1"/>
  <c r="U21" i="27"/>
  <c r="F27" i="26"/>
  <c r="N27" i="26" s="1"/>
  <c r="F3" i="27"/>
  <c r="N3" i="27" s="1"/>
  <c r="F18" i="26"/>
  <c r="N18" i="26" s="1"/>
  <c r="F32" i="27"/>
  <c r="N32" i="27" s="1"/>
  <c r="F8" i="27"/>
  <c r="N8" i="27" s="1"/>
  <c r="D38" i="28"/>
  <c r="F27" i="27"/>
  <c r="N27" i="27" s="1"/>
  <c r="U18" i="28"/>
  <c r="F50" i="28"/>
  <c r="F39" i="28"/>
  <c r="U41" i="28" s="1"/>
  <c r="U14" i="28" a="1"/>
  <c r="U14" i="28" s="1"/>
  <c r="F22" i="27"/>
  <c r="N22" i="27" s="1"/>
  <c r="F5" i="27"/>
  <c r="N5" i="27" s="1"/>
  <c r="F30" i="26"/>
  <c r="N30" i="26" s="1"/>
  <c r="U12" i="28" a="1"/>
  <c r="U12" i="28" s="1"/>
  <c r="F16" i="26"/>
  <c r="N16" i="26" s="1"/>
  <c r="F25" i="27"/>
  <c r="N25" i="27" s="1"/>
  <c r="F26" i="27"/>
  <c r="N26" i="27" s="1"/>
  <c r="F12" i="27"/>
  <c r="N12" i="27" s="1"/>
  <c r="F20" i="26"/>
  <c r="N20" i="26" s="1"/>
  <c r="F29" i="27"/>
  <c r="N29" i="27" s="1"/>
  <c r="F22" i="25"/>
  <c r="N22" i="25" s="1"/>
  <c r="F5" i="26"/>
  <c r="N5" i="26" s="1"/>
  <c r="U11" i="28" a="1"/>
  <c r="U11" i="28" s="1"/>
  <c r="F6" i="27"/>
  <c r="N6" i="27" s="1"/>
  <c r="U22" i="27"/>
  <c r="F16" i="27"/>
  <c r="N16" i="27" s="1"/>
  <c r="F13" i="26"/>
  <c r="N13" i="26" s="1"/>
  <c r="U14" i="27" a="1"/>
  <c r="U14" i="27" s="1"/>
  <c r="T44" i="27" s="1"/>
  <c r="F17" i="26"/>
  <c r="N17" i="26" s="1"/>
  <c r="U20" i="27"/>
  <c r="F29" i="26"/>
  <c r="N29" i="26" s="1"/>
  <c r="F24" i="27"/>
  <c r="N24" i="27" s="1"/>
  <c r="F32" i="26"/>
  <c r="N32" i="26" s="1"/>
  <c r="F12" i="25"/>
  <c r="N12" i="25" s="1"/>
  <c r="F14" i="26"/>
  <c r="N14" i="26" s="1"/>
  <c r="F19" i="27"/>
  <c r="N19" i="27" s="1"/>
  <c r="F14" i="27"/>
  <c r="N14" i="27" s="1"/>
  <c r="F16" i="25"/>
  <c r="N16" i="25" s="1"/>
  <c r="U13" i="27" a="1"/>
  <c r="U13" i="27" s="1"/>
  <c r="T43" i="27" s="1"/>
  <c r="F13" i="27"/>
  <c r="N13" i="27" s="1"/>
  <c r="U19" i="27"/>
  <c r="U20" i="26"/>
  <c r="F24" i="26"/>
  <c r="N24" i="26" s="1"/>
  <c r="F28" i="26"/>
  <c r="N28" i="26" s="1"/>
  <c r="F26" i="25"/>
  <c r="N26" i="25" s="1"/>
  <c r="J38" i="27"/>
  <c r="J37" i="27" s="1"/>
  <c r="J45" i="27"/>
  <c r="D38" i="27"/>
  <c r="F25" i="26"/>
  <c r="N25" i="26" s="1"/>
  <c r="F50" i="27"/>
  <c r="F39" i="27"/>
  <c r="U41" i="27" s="1"/>
  <c r="F11" i="26"/>
  <c r="N11" i="26" s="1"/>
  <c r="U18" i="27"/>
  <c r="F15" i="26"/>
  <c r="N15" i="26" s="1"/>
  <c r="U22" i="26"/>
  <c r="F3" i="26"/>
  <c r="D34" i="26" s="1"/>
  <c r="U11" i="27" a="1"/>
  <c r="U11" i="27" s="1"/>
  <c r="F26" i="26"/>
  <c r="N26" i="26" s="1"/>
  <c r="U12" i="27" a="1"/>
  <c r="U12" i="27" s="1"/>
  <c r="F4" i="26"/>
  <c r="N4" i="26" s="1"/>
  <c r="F27" i="25"/>
  <c r="N27" i="25" s="1"/>
  <c r="F10" i="26"/>
  <c r="N10" i="26" s="1"/>
  <c r="F22" i="26"/>
  <c r="N22" i="26" s="1"/>
  <c r="F11" i="25"/>
  <c r="N11" i="25" s="1"/>
  <c r="F4" i="25"/>
  <c r="N4" i="25" s="1"/>
  <c r="F31" i="25"/>
  <c r="N31" i="25" s="1"/>
  <c r="F9" i="25"/>
  <c r="N9" i="25" s="1"/>
  <c r="U13" i="26" a="1"/>
  <c r="U13" i="26" s="1"/>
  <c r="T43" i="26" s="1"/>
  <c r="F24" i="25"/>
  <c r="N24" i="25" s="1"/>
  <c r="F20" i="25"/>
  <c r="N20" i="25" s="1"/>
  <c r="U12" i="26" a="1"/>
  <c r="U12" i="26" s="1"/>
  <c r="T42" i="26" s="1"/>
  <c r="U21" i="26"/>
  <c r="F9" i="26"/>
  <c r="N9" i="26" s="1"/>
  <c r="F31" i="26"/>
  <c r="N31" i="26" s="1"/>
  <c r="F30" i="25"/>
  <c r="N30" i="25" s="1"/>
  <c r="F19" i="26"/>
  <c r="N19" i="26" s="1"/>
  <c r="F19" i="25"/>
  <c r="N19" i="25" s="1"/>
  <c r="U14" i="26" a="1"/>
  <c r="U14" i="26" s="1"/>
  <c r="T44" i="26" s="1"/>
  <c r="U19" i="26"/>
  <c r="J38" i="26"/>
  <c r="J37" i="26" s="1"/>
  <c r="J45" i="26"/>
  <c r="F5" i="25"/>
  <c r="N5" i="25" s="1"/>
  <c r="U11" i="26" a="1"/>
  <c r="U11" i="26" s="1"/>
  <c r="F23" i="25"/>
  <c r="N23" i="25" s="1"/>
  <c r="F13" i="25"/>
  <c r="N13" i="25" s="1"/>
  <c r="F8" i="25"/>
  <c r="N8" i="25" s="1"/>
  <c r="U18" i="26"/>
  <c r="F14" i="25"/>
  <c r="N14" i="25" s="1"/>
  <c r="F6" i="25"/>
  <c r="N6" i="25" s="1"/>
  <c r="F29" i="25"/>
  <c r="N29" i="25" s="1"/>
  <c r="D38" i="26"/>
  <c r="F50" i="26"/>
  <c r="F39" i="26"/>
  <c r="U41" i="26" s="1"/>
  <c r="U12" i="25" a="1"/>
  <c r="U12" i="25" s="1"/>
  <c r="T42" i="25" s="1"/>
  <c r="F15" i="25"/>
  <c r="N15" i="25" s="1"/>
  <c r="U14" i="25" a="1"/>
  <c r="U14" i="25" s="1"/>
  <c r="V14" i="25" s="1"/>
  <c r="U20" i="25"/>
  <c r="F10" i="25"/>
  <c r="N10" i="25" s="1"/>
  <c r="F7" i="25"/>
  <c r="N7" i="25" s="1"/>
  <c r="F17" i="25"/>
  <c r="N17" i="25" s="1"/>
  <c r="U19" i="25"/>
  <c r="F25" i="25"/>
  <c r="N25" i="25" s="1"/>
  <c r="U21" i="25"/>
  <c r="F32" i="25"/>
  <c r="N32" i="25" s="1"/>
  <c r="F3" i="25"/>
  <c r="J38" i="25"/>
  <c r="J37" i="25" s="1"/>
  <c r="J45" i="25"/>
  <c r="U11" i="25" a="1"/>
  <c r="U11" i="25" s="1"/>
  <c r="U13" i="25" a="1"/>
  <c r="U13" i="25" s="1"/>
  <c r="T43" i="25" s="1"/>
  <c r="D38" i="25"/>
  <c r="F50" i="25"/>
  <c r="F39" i="25"/>
  <c r="U41" i="25" s="1"/>
  <c r="U18" i="25"/>
  <c r="C31" i="24"/>
  <c r="C33" i="24"/>
  <c r="C35" i="24"/>
  <c r="C26" i="24"/>
  <c r="C34" i="24"/>
  <c r="C29" i="24"/>
  <c r="C25" i="24"/>
  <c r="C32" i="24"/>
  <c r="C30" i="24"/>
  <c r="C24" i="24"/>
  <c r="T43" i="29" l="1"/>
  <c r="T42" i="29"/>
  <c r="D34" i="32"/>
  <c r="B37" i="29" a="1"/>
  <c r="B37" i="29" s="1"/>
  <c r="D45" i="29"/>
  <c r="D46" i="29"/>
  <c r="D30" i="24"/>
  <c r="D32" i="24"/>
  <c r="D25" i="24"/>
  <c r="D29" i="24"/>
  <c r="D34" i="24"/>
  <c r="D26" i="24"/>
  <c r="D35" i="24"/>
  <c r="D33" i="24"/>
  <c r="D31" i="24"/>
  <c r="D24" i="24"/>
  <c r="D34" i="34"/>
  <c r="F45" i="32"/>
  <c r="N3" i="31"/>
  <c r="N34" i="31" s="1"/>
  <c r="F45" i="31"/>
  <c r="B37" i="34" a="1"/>
  <c r="B37" i="34" s="1"/>
  <c r="F46" i="34"/>
  <c r="F45" i="34"/>
  <c r="N34" i="34"/>
  <c r="G34" i="34" a="1"/>
  <c r="G34" i="34" s="1"/>
  <c r="B38" i="34" a="1"/>
  <c r="B38" i="34" s="1"/>
  <c r="T44" i="34"/>
  <c r="V14" i="34"/>
  <c r="T41" i="34"/>
  <c r="T42" i="34"/>
  <c r="J46" i="34"/>
  <c r="U39" i="34"/>
  <c r="V49" i="34" a="1"/>
  <c r="V49" i="34" s="1"/>
  <c r="V48" i="34" a="1"/>
  <c r="V48" i="34" s="1"/>
  <c r="D34" i="33"/>
  <c r="F45" i="33"/>
  <c r="V14" i="31"/>
  <c r="J46" i="33"/>
  <c r="U39" i="33"/>
  <c r="V49" i="33" a="1"/>
  <c r="V49" i="33" s="1"/>
  <c r="V48" i="33" a="1"/>
  <c r="V48" i="33" s="1"/>
  <c r="T44" i="33"/>
  <c r="V14" i="33"/>
  <c r="F46" i="33"/>
  <c r="B37" i="33" a="1"/>
  <c r="B37" i="33" s="1"/>
  <c r="N34" i="33"/>
  <c r="G34" i="33" a="1"/>
  <c r="G34" i="33" s="1"/>
  <c r="B38" i="33" a="1"/>
  <c r="B38" i="33" s="1"/>
  <c r="B37" i="32" a="1"/>
  <c r="B37" i="32" s="1"/>
  <c r="N3" i="28"/>
  <c r="N34" i="28" s="1"/>
  <c r="F45" i="30"/>
  <c r="V49" i="32" a="1"/>
  <c r="V49" i="32" s="1"/>
  <c r="V48" i="32" a="1"/>
  <c r="V48" i="32" s="1"/>
  <c r="T44" i="32"/>
  <c r="V14" i="32"/>
  <c r="T42" i="32"/>
  <c r="N34" i="32"/>
  <c r="G34" i="32" a="1"/>
  <c r="G34" i="32" s="1"/>
  <c r="B38" i="32" a="1"/>
  <c r="B38" i="32" s="1"/>
  <c r="J46" i="32"/>
  <c r="U39" i="32"/>
  <c r="T41" i="32"/>
  <c r="F46" i="32"/>
  <c r="V14" i="30"/>
  <c r="V49" i="31" a="1"/>
  <c r="V49" i="31" s="1"/>
  <c r="V48" i="31" a="1"/>
  <c r="V48" i="31" s="1"/>
  <c r="B37" i="31" a="1"/>
  <c r="B37" i="31" s="1"/>
  <c r="F46" i="31"/>
  <c r="J46" i="31"/>
  <c r="U39" i="31"/>
  <c r="N3" i="30"/>
  <c r="N34" i="30" s="1"/>
  <c r="G34" i="31" a="1"/>
  <c r="G34" i="31" s="1"/>
  <c r="B38" i="31" a="1"/>
  <c r="B38" i="31" s="1"/>
  <c r="B37" i="30" a="1"/>
  <c r="B37" i="30" s="1"/>
  <c r="F46" i="30"/>
  <c r="G34" i="30" a="1"/>
  <c r="G34" i="30" s="1"/>
  <c r="B38" i="30" a="1"/>
  <c r="B38" i="30" s="1"/>
  <c r="D34" i="27"/>
  <c r="V49" i="30" a="1"/>
  <c r="V49" i="30" s="1"/>
  <c r="V48" i="30" a="1"/>
  <c r="V48" i="30" s="1"/>
  <c r="J46" i="30"/>
  <c r="U39" i="30"/>
  <c r="T41" i="30"/>
  <c r="F45" i="28"/>
  <c r="B38" i="28" a="1"/>
  <c r="B38" i="28" s="1"/>
  <c r="E46" i="29"/>
  <c r="U39" i="29"/>
  <c r="T44" i="29"/>
  <c r="T41" i="29"/>
  <c r="B37" i="28" a="1"/>
  <c r="B37" i="28" s="1"/>
  <c r="B38" i="29" a="1"/>
  <c r="B38" i="29" s="1"/>
  <c r="V49" i="29" a="1"/>
  <c r="V49" i="29" s="1"/>
  <c r="V48" i="29" a="1"/>
  <c r="V48" i="29" s="1"/>
  <c r="G34" i="28" a="1"/>
  <c r="G34" i="28" s="1"/>
  <c r="F46" i="28"/>
  <c r="T44" i="28"/>
  <c r="V14" i="28"/>
  <c r="V49" i="28" a="1"/>
  <c r="V49" i="28" s="1"/>
  <c r="V48" i="28" a="1"/>
  <c r="V48" i="28" s="1"/>
  <c r="J46" i="28"/>
  <c r="U39" i="28"/>
  <c r="T41" i="28"/>
  <c r="F45" i="27"/>
  <c r="T42" i="28"/>
  <c r="N34" i="27"/>
  <c r="G34" i="27" a="1"/>
  <c r="G34" i="27" s="1"/>
  <c r="B38" i="27" a="1"/>
  <c r="B38" i="27" s="1"/>
  <c r="V14" i="27"/>
  <c r="B37" i="27" a="1"/>
  <c r="B37" i="27" s="1"/>
  <c r="F46" i="27"/>
  <c r="T41" i="27"/>
  <c r="J46" i="27"/>
  <c r="U39" i="27"/>
  <c r="F45" i="26"/>
  <c r="F45" i="25"/>
  <c r="N3" i="26"/>
  <c r="N34" i="26" s="1"/>
  <c r="V49" i="27" a="1"/>
  <c r="V49" i="27" s="1"/>
  <c r="V48" i="27" a="1"/>
  <c r="V48" i="27" s="1"/>
  <c r="F46" i="26"/>
  <c r="T42" i="27"/>
  <c r="V14" i="26"/>
  <c r="G34" i="26" a="1"/>
  <c r="G34" i="26" s="1"/>
  <c r="B38" i="26" a="1"/>
  <c r="B38" i="26" s="1"/>
  <c r="B37" i="26" a="1"/>
  <c r="B37" i="26" s="1"/>
  <c r="V49" i="26" a="1"/>
  <c r="V49" i="26" s="1"/>
  <c r="V48" i="26" a="1"/>
  <c r="V48" i="26" s="1"/>
  <c r="J46" i="26"/>
  <c r="U39" i="26"/>
  <c r="T41" i="26"/>
  <c r="G34" i="25" a="1"/>
  <c r="G34" i="25" s="1"/>
  <c r="F46" i="25"/>
  <c r="B37" i="25" a="1"/>
  <c r="B37" i="25" s="1"/>
  <c r="N3" i="25"/>
  <c r="N34" i="25" s="1"/>
  <c r="D34" i="25"/>
  <c r="T44" i="25"/>
  <c r="B38" i="25" a="1"/>
  <c r="B38" i="25" s="1"/>
  <c r="J46" i="25"/>
  <c r="U39" i="25"/>
  <c r="V49" i="25" a="1"/>
  <c r="V49" i="25" s="1"/>
  <c r="V48" i="25" a="1"/>
  <c r="V48" i="25" s="1"/>
  <c r="T41" i="25"/>
  <c r="R5" i="14"/>
  <c r="D40" i="29" s="1"/>
  <c r="R9" i="14"/>
  <c r="R21" i="14" a="1"/>
  <c r="R21" i="14" s="1"/>
  <c r="Q21" i="14" a="1"/>
  <c r="Q21" i="14" s="1"/>
  <c r="S21" i="14" a="1"/>
  <c r="T21" i="14" a="1"/>
  <c r="F40" i="25" l="1"/>
  <c r="V15" i="25" s="1"/>
  <c r="V12" i="29"/>
  <c r="F40" i="26"/>
  <c r="F40" i="27"/>
  <c r="V12" i="27" s="1"/>
  <c r="F40" i="32"/>
  <c r="V12" i="32" s="1"/>
  <c r="F40" i="33"/>
  <c r="V15" i="33" s="1"/>
  <c r="F40" i="28"/>
  <c r="V12" i="28" s="1"/>
  <c r="F40" i="30"/>
  <c r="V15" i="30" s="1"/>
  <c r="F40" i="31"/>
  <c r="F40" i="34"/>
  <c r="J44" i="33"/>
  <c r="J44" i="27"/>
  <c r="J44" i="25"/>
  <c r="F44" i="33"/>
  <c r="U44" i="33" s="1"/>
  <c r="J44" i="31"/>
  <c r="E44" i="29"/>
  <c r="F44" i="27"/>
  <c r="U44" i="27" s="1"/>
  <c r="V44" i="27" s="1"/>
  <c r="F44" i="25"/>
  <c r="U44" i="25" s="1"/>
  <c r="V44" i="25" s="1"/>
  <c r="F44" i="31"/>
  <c r="U44" i="31" s="1"/>
  <c r="V44" i="31" s="1"/>
  <c r="D44" i="29"/>
  <c r="J44" i="34"/>
  <c r="J44" i="28"/>
  <c r="J44" i="26"/>
  <c r="F44" i="34"/>
  <c r="U44" i="34" s="1"/>
  <c r="V44" i="34" s="1"/>
  <c r="J44" i="32"/>
  <c r="J44" i="30"/>
  <c r="F44" i="28"/>
  <c r="U44" i="28" s="1"/>
  <c r="V44" i="28" s="1"/>
  <c r="F44" i="26"/>
  <c r="U44" i="26" s="1"/>
  <c r="V44" i="26" s="1"/>
  <c r="F44" i="32"/>
  <c r="U44" i="32" s="1"/>
  <c r="V44" i="32" s="1"/>
  <c r="F44" i="30"/>
  <c r="U44" i="30" s="1"/>
  <c r="V44" i="30" s="1"/>
  <c r="J40" i="34"/>
  <c r="J40" i="28"/>
  <c r="J40" i="26"/>
  <c r="J40" i="32"/>
  <c r="J40" i="30"/>
  <c r="J39" i="26"/>
  <c r="J39" i="34"/>
  <c r="J39" i="28"/>
  <c r="J39" i="32"/>
  <c r="J39" i="30"/>
  <c r="J40" i="25"/>
  <c r="J40" i="27"/>
  <c r="J40" i="33"/>
  <c r="E40" i="29"/>
  <c r="J40" i="31"/>
  <c r="J39" i="25"/>
  <c r="J39" i="33"/>
  <c r="E39" i="29"/>
  <c r="J39" i="27"/>
  <c r="J39" i="31"/>
  <c r="V44" i="33"/>
  <c r="R39" i="27"/>
  <c r="R39" i="34"/>
  <c r="R39" i="25"/>
  <c r="R39" i="32"/>
  <c r="R39" i="30"/>
  <c r="R39" i="28"/>
  <c r="R39" i="23"/>
  <c r="R39" i="26"/>
  <c r="R39" i="33"/>
  <c r="R39" i="31"/>
  <c r="R39" i="29"/>
  <c r="R39" i="22"/>
  <c r="Q39" i="34"/>
  <c r="Q39" i="22"/>
  <c r="Q39" i="25"/>
  <c r="Q39" i="32"/>
  <c r="Q39" i="27"/>
  <c r="Q39" i="30"/>
  <c r="Q39" i="33"/>
  <c r="Q39" i="28"/>
  <c r="Q39" i="26"/>
  <c r="Q39" i="31"/>
  <c r="Q39" i="23"/>
  <c r="Q39" i="29"/>
  <c r="R38" i="31"/>
  <c r="R38" i="25"/>
  <c r="R38" i="34"/>
  <c r="R38" i="28"/>
  <c r="R38" i="29"/>
  <c r="R38" i="32"/>
  <c r="R38" i="26"/>
  <c r="R38" i="30"/>
  <c r="R38" i="33"/>
  <c r="R38" i="27"/>
  <c r="Q38" i="30"/>
  <c r="Q38" i="26"/>
  <c r="Q38" i="34"/>
  <c r="Q38" i="27"/>
  <c r="Q38" i="31"/>
  <c r="Q38" i="28"/>
  <c r="Q38" i="32"/>
  <c r="Q38" i="29"/>
  <c r="Q38" i="33"/>
  <c r="Q38" i="25"/>
  <c r="U42" i="34"/>
  <c r="V42" i="34" s="1"/>
  <c r="V45" i="34" s="1"/>
  <c r="V47" i="34"/>
  <c r="V12" i="34"/>
  <c r="V15" i="34"/>
  <c r="V15" i="32"/>
  <c r="U42" i="33"/>
  <c r="V42" i="33" s="1"/>
  <c r="V45" i="33" s="1"/>
  <c r="V19" i="33" a="1"/>
  <c r="V19" i="33" s="1"/>
  <c r="V20" i="33" a="1"/>
  <c r="V20" i="33" s="1"/>
  <c r="V22" i="33" a="1"/>
  <c r="V22" i="33" s="1"/>
  <c r="V21" i="33" a="1"/>
  <c r="V21" i="33" s="1"/>
  <c r="V12" i="33"/>
  <c r="V18" i="33" a="1"/>
  <c r="V18" i="33" s="1"/>
  <c r="V47" i="33"/>
  <c r="U42" i="32"/>
  <c r="V42" i="32" s="1"/>
  <c r="V45" i="32" s="1"/>
  <c r="V47" i="32"/>
  <c r="U42" i="31"/>
  <c r="V42" i="31" s="1"/>
  <c r="V45" i="31" s="1"/>
  <c r="V21" i="31" a="1"/>
  <c r="V21" i="31" s="1"/>
  <c r="V19" i="31" a="1"/>
  <c r="V19" i="31" s="1"/>
  <c r="V22" i="31" a="1"/>
  <c r="V22" i="31" s="1"/>
  <c r="V20" i="31" a="1"/>
  <c r="V20" i="31" s="1"/>
  <c r="V12" i="31"/>
  <c r="V15" i="31"/>
  <c r="V18" i="31" a="1"/>
  <c r="V18" i="31" s="1"/>
  <c r="V47" i="31"/>
  <c r="U42" i="30"/>
  <c r="V42" i="30" s="1"/>
  <c r="V45" i="30" s="1"/>
  <c r="V12" i="30"/>
  <c r="V47" i="30"/>
  <c r="V15" i="28"/>
  <c r="U42" i="29"/>
  <c r="V42" i="29" s="1"/>
  <c r="V21" i="29" a="1"/>
  <c r="V21" i="29" s="1"/>
  <c r="V47" i="29"/>
  <c r="U42" i="28"/>
  <c r="V42" i="28" s="1"/>
  <c r="V45" i="28" s="1"/>
  <c r="V47" i="28"/>
  <c r="U42" i="27"/>
  <c r="V42" i="27" s="1"/>
  <c r="V45" i="27" s="1"/>
  <c r="V21" i="27" a="1"/>
  <c r="V21" i="27" s="1"/>
  <c r="V19" i="27" a="1"/>
  <c r="V19" i="27" s="1"/>
  <c r="V20" i="27" a="1"/>
  <c r="V20" i="27" s="1"/>
  <c r="V22" i="27" a="1"/>
  <c r="V22" i="27" s="1"/>
  <c r="V18" i="27" a="1"/>
  <c r="V18" i="27" s="1"/>
  <c r="V15" i="27"/>
  <c r="V47" i="27"/>
  <c r="U42" i="26"/>
  <c r="V42" i="26" s="1"/>
  <c r="V45" i="26" s="1"/>
  <c r="V12" i="26"/>
  <c r="V15" i="26"/>
  <c r="V47" i="26"/>
  <c r="U42" i="25"/>
  <c r="V42" i="25" s="1"/>
  <c r="V45" i="25" s="1"/>
  <c r="V22" i="25" a="1"/>
  <c r="V22" i="25" s="1"/>
  <c r="V12" i="25"/>
  <c r="V47" i="25"/>
  <c r="R38" i="22"/>
  <c r="R38" i="23"/>
  <c r="F44" i="22"/>
  <c r="U44" i="22" s="1"/>
  <c r="J44" i="23"/>
  <c r="F44" i="23"/>
  <c r="U44" i="23" s="1"/>
  <c r="J44" i="22"/>
  <c r="J40" i="22"/>
  <c r="J40" i="23"/>
  <c r="J39" i="22"/>
  <c r="J39" i="23"/>
  <c r="Q38" i="22"/>
  <c r="Q38" i="23"/>
  <c r="T21" i="14"/>
  <c r="S21" i="14"/>
  <c r="U44" i="29" l="1"/>
  <c r="V44" i="29" s="1"/>
  <c r="V14" i="29"/>
  <c r="V21" i="25" a="1"/>
  <c r="V21" i="25" s="1"/>
  <c r="V20" i="25" a="1"/>
  <c r="V20" i="25" s="1"/>
  <c r="V19" i="25" a="1"/>
  <c r="V19" i="25" s="1"/>
  <c r="V15" i="29"/>
  <c r="V30" i="29" s="1"/>
  <c r="V18" i="29" a="1"/>
  <c r="V18" i="29" s="1"/>
  <c r="V18" i="25" a="1"/>
  <c r="V18" i="25" s="1"/>
  <c r="V19" i="29" a="1"/>
  <c r="V19" i="29" s="1"/>
  <c r="V22" i="29" a="1"/>
  <c r="V22" i="29" s="1"/>
  <c r="V20" i="29" a="1"/>
  <c r="V20" i="29" s="1"/>
  <c r="V45" i="29"/>
  <c r="V21" i="26" a="1"/>
  <c r="V21" i="26" s="1"/>
  <c r="V18" i="26" a="1"/>
  <c r="V18" i="26" s="1"/>
  <c r="V22" i="26" a="1"/>
  <c r="V22" i="26" s="1"/>
  <c r="V19" i="26" a="1"/>
  <c r="V19" i="26" s="1"/>
  <c r="V20" i="26" a="1"/>
  <c r="V20" i="26" s="1"/>
  <c r="V18" i="30" a="1"/>
  <c r="V18" i="30" s="1"/>
  <c r="V19" i="30" a="1"/>
  <c r="V19" i="30" s="1"/>
  <c r="V21" i="30" a="1"/>
  <c r="V21" i="30" s="1"/>
  <c r="V18" i="32" a="1"/>
  <c r="V18" i="32" s="1"/>
  <c r="V19" i="32" a="1"/>
  <c r="V19" i="32" s="1"/>
  <c r="V22" i="30" a="1"/>
  <c r="V22" i="30" s="1"/>
  <c r="V18" i="34" a="1"/>
  <c r="V18" i="34" s="1"/>
  <c r="V22" i="34" a="1"/>
  <c r="V22" i="34" s="1"/>
  <c r="V20" i="34" a="1"/>
  <c r="V20" i="34" s="1"/>
  <c r="V19" i="34" a="1"/>
  <c r="V19" i="34" s="1"/>
  <c r="V21" i="34" a="1"/>
  <c r="V21" i="34" s="1"/>
  <c r="V22" i="32" a="1"/>
  <c r="V22" i="32" s="1"/>
  <c r="V18" i="28" a="1"/>
  <c r="V18" i="28" s="1"/>
  <c r="V20" i="28" a="1"/>
  <c r="V20" i="28" s="1"/>
  <c r="V20" i="32" a="1"/>
  <c r="V20" i="32" s="1"/>
  <c r="V19" i="28" a="1"/>
  <c r="V19" i="28" s="1"/>
  <c r="V21" i="32" a="1"/>
  <c r="V21" i="32" s="1"/>
  <c r="V22" i="28" a="1"/>
  <c r="V22" i="28" s="1"/>
  <c r="V21" i="28" a="1"/>
  <c r="V21" i="28" s="1"/>
  <c r="V20" i="30" a="1"/>
  <c r="V20" i="30" s="1"/>
  <c r="R37" i="31"/>
  <c r="R37" i="25"/>
  <c r="R37" i="34"/>
  <c r="R37" i="28"/>
  <c r="R37" i="29"/>
  <c r="R37" i="26"/>
  <c r="R37" i="32"/>
  <c r="R37" i="30"/>
  <c r="R37" i="33"/>
  <c r="R37" i="27"/>
  <c r="Q37" i="33"/>
  <c r="Q37" i="30"/>
  <c r="Q37" i="26"/>
  <c r="Q37" i="27"/>
  <c r="Q37" i="34"/>
  <c r="Q37" i="31"/>
  <c r="Q37" i="32"/>
  <c r="Q37" i="28"/>
  <c r="Q37" i="29"/>
  <c r="Q37" i="25"/>
  <c r="Q37" i="23"/>
  <c r="Q37" i="22"/>
  <c r="R37" i="23"/>
  <c r="R37" i="22"/>
  <c r="F3" i="5"/>
  <c r="F4" i="5" s="1"/>
  <c r="F5" i="5" s="1"/>
  <c r="F6" i="5" s="1"/>
  <c r="F7" i="5" s="1"/>
  <c r="F8" i="5" s="1"/>
  <c r="F9" i="5" s="1"/>
  <c r="F10" i="5" s="1"/>
  <c r="F11" i="5" s="1"/>
  <c r="F12" i="5" s="1"/>
  <c r="F49" i="23" l="1" a="1"/>
  <c r="F49" i="23" s="1"/>
  <c r="J41" i="23" a="1"/>
  <c r="J41" i="23" s="1"/>
  <c r="D37" i="23" a="1"/>
  <c r="D37" i="23" s="1"/>
  <c r="F41" i="23" a="1"/>
  <c r="F41" i="23" s="1"/>
  <c r="F49" i="22" a="1"/>
  <c r="F49" i="22" s="1"/>
  <c r="F41" i="22" a="1"/>
  <c r="F41" i="22" s="1"/>
  <c r="J41" i="22" a="1"/>
  <c r="J41" i="22" s="1"/>
  <c r="D37" i="22" a="1"/>
  <c r="D37" i="22" s="1"/>
  <c r="V5" i="14"/>
  <c r="V4" i="14"/>
  <c r="V3" i="14"/>
  <c r="V6" i="14"/>
  <c r="R4" i="4"/>
  <c r="R3" i="4"/>
  <c r="C18" i="4"/>
  <c r="C10" i="4"/>
  <c r="C11" i="4"/>
  <c r="C12" i="4"/>
  <c r="C13" i="4"/>
  <c r="C14" i="4"/>
  <c r="C15" i="4"/>
  <c r="C16" i="4"/>
  <c r="C17" i="4"/>
  <c r="C19" i="4"/>
  <c r="B27" i="24"/>
  <c r="B28" i="24"/>
  <c r="D15" i="23" l="1"/>
  <c r="D3" i="22"/>
  <c r="D28" i="22"/>
  <c r="D24" i="23"/>
  <c r="D33" i="23"/>
  <c r="D22" i="22"/>
  <c r="D21" i="23"/>
  <c r="D5" i="23"/>
  <c r="D6" i="22"/>
  <c r="D15" i="22"/>
  <c r="D29" i="23"/>
  <c r="D4" i="22"/>
  <c r="D31" i="22"/>
  <c r="D16" i="22"/>
  <c r="D32" i="22"/>
  <c r="D26" i="22"/>
  <c r="D17" i="23"/>
  <c r="D21" i="22"/>
  <c r="D9" i="22"/>
  <c r="D29" i="22"/>
  <c r="D12" i="23"/>
  <c r="D26" i="23"/>
  <c r="D10" i="23"/>
  <c r="D16" i="23"/>
  <c r="D32" i="23"/>
  <c r="D23" i="22"/>
  <c r="D27" i="22"/>
  <c r="D30" i="22"/>
  <c r="D22" i="23"/>
  <c r="D19" i="23"/>
  <c r="D7" i="22"/>
  <c r="D14" i="22"/>
  <c r="D8" i="22"/>
  <c r="D27" i="23"/>
  <c r="D20" i="23"/>
  <c r="D12" i="22"/>
  <c r="D23" i="23"/>
  <c r="D10" i="22"/>
  <c r="D28" i="23"/>
  <c r="D13" i="22"/>
  <c r="D11" i="22"/>
  <c r="D17" i="22"/>
  <c r="D31" i="23"/>
  <c r="D3" i="23"/>
  <c r="D19" i="22"/>
  <c r="D24" i="22"/>
  <c r="D18" i="22"/>
  <c r="D5" i="22"/>
  <c r="D9" i="23"/>
  <c r="D20" i="22"/>
  <c r="D7" i="23"/>
  <c r="D4" i="23"/>
  <c r="D18" i="23"/>
  <c r="D25" i="22"/>
  <c r="D8" i="23"/>
  <c r="D30" i="23"/>
  <c r="D13" i="23"/>
  <c r="D11" i="23"/>
  <c r="D25" i="23"/>
  <c r="D14" i="23"/>
  <c r="D6" i="23"/>
  <c r="C31" i="23"/>
  <c r="C33" i="23"/>
  <c r="C23" i="22"/>
  <c r="C15" i="23"/>
  <c r="C28" i="22"/>
  <c r="C27" i="23"/>
  <c r="C8" i="22"/>
  <c r="C4" i="22"/>
  <c r="C22" i="22"/>
  <c r="C6" i="22"/>
  <c r="C21" i="22"/>
  <c r="C5" i="22"/>
  <c r="C5" i="23"/>
  <c r="C21" i="23"/>
  <c r="C9" i="22"/>
  <c r="C29" i="23"/>
  <c r="C24" i="23"/>
  <c r="C13" i="22"/>
  <c r="C10" i="23"/>
  <c r="C26" i="22"/>
  <c r="C17" i="23"/>
  <c r="C14" i="22"/>
  <c r="C27" i="22"/>
  <c r="C29" i="22"/>
  <c r="C31" i="22"/>
  <c r="C7" i="22"/>
  <c r="C20" i="23"/>
  <c r="C10" i="22"/>
  <c r="C12" i="23"/>
  <c r="C26" i="23"/>
  <c r="C16" i="23"/>
  <c r="C30" i="22"/>
  <c r="C32" i="22"/>
  <c r="C6" i="23"/>
  <c r="C19" i="23"/>
  <c r="C12" i="22"/>
  <c r="C22" i="23"/>
  <c r="C15" i="22"/>
  <c r="C16" i="22"/>
  <c r="C32" i="23"/>
  <c r="C3" i="23"/>
  <c r="C23" i="23"/>
  <c r="C19" i="22"/>
  <c r="C17" i="22"/>
  <c r="C9" i="23"/>
  <c r="C28" i="23"/>
  <c r="C18" i="22"/>
  <c r="C7" i="23"/>
  <c r="C11" i="22"/>
  <c r="C4" i="23"/>
  <c r="C24" i="22"/>
  <c r="C8" i="23"/>
  <c r="C20" i="22"/>
  <c r="C18" i="23"/>
  <c r="C3" i="22"/>
  <c r="C25" i="22"/>
  <c r="C30" i="23"/>
  <c r="C13" i="23"/>
  <c r="C11" i="23"/>
  <c r="C25" i="23"/>
  <c r="C14" i="23"/>
  <c r="J12" i="22"/>
  <c r="J6" i="23"/>
  <c r="J3" i="22"/>
  <c r="J11" i="23"/>
  <c r="J5" i="22"/>
  <c r="J8" i="23"/>
  <c r="J4" i="23"/>
  <c r="J7" i="23"/>
  <c r="J9" i="23"/>
  <c r="J3" i="23"/>
  <c r="J10" i="22"/>
  <c r="J11" i="22"/>
  <c r="J9" i="22"/>
  <c r="J10" i="23"/>
  <c r="J12" i="23"/>
  <c r="J6" i="22"/>
  <c r="J8" i="22"/>
  <c r="J4" i="22"/>
  <c r="J5" i="23"/>
  <c r="J7" i="22"/>
  <c r="D38" i="22"/>
  <c r="F50" i="22"/>
  <c r="F39" i="22"/>
  <c r="U41" i="22" s="1"/>
  <c r="D38" i="23"/>
  <c r="F50" i="23"/>
  <c r="F39" i="23"/>
  <c r="U41" i="23" s="1"/>
  <c r="C28" i="24"/>
  <c r="C27" i="24"/>
  <c r="D27" i="24" l="1"/>
  <c r="D28" i="24"/>
  <c r="E37" i="34"/>
  <c r="E37" i="23"/>
  <c r="E37" i="25"/>
  <c r="E37" i="22"/>
  <c r="F22" i="22"/>
  <c r="N22" i="22" s="1"/>
  <c r="F10" i="22"/>
  <c r="N10" i="22" s="1"/>
  <c r="F15" i="23"/>
  <c r="N15" i="23" s="1"/>
  <c r="F20" i="22"/>
  <c r="N20" i="22" s="1"/>
  <c r="F31" i="23"/>
  <c r="N31" i="23" s="1"/>
  <c r="F29" i="23"/>
  <c r="N29" i="23" s="1"/>
  <c r="U20" i="22"/>
  <c r="F11" i="22"/>
  <c r="N11" i="22" s="1"/>
  <c r="F17" i="23"/>
  <c r="N17" i="23" s="1"/>
  <c r="F3" i="22"/>
  <c r="D34" i="22" s="1"/>
  <c r="F6" i="23"/>
  <c r="N6" i="23" s="1"/>
  <c r="F9" i="23"/>
  <c r="N9" i="23" s="1"/>
  <c r="F33" i="23"/>
  <c r="N33" i="23" s="1"/>
  <c r="F24" i="23"/>
  <c r="N24" i="23" s="1"/>
  <c r="F28" i="23"/>
  <c r="N28" i="23" s="1"/>
  <c r="F21" i="23"/>
  <c r="N21" i="23" s="1"/>
  <c r="F5" i="23"/>
  <c r="N5" i="23" s="1"/>
  <c r="F28" i="22"/>
  <c r="N28" i="22" s="1"/>
  <c r="F7" i="23"/>
  <c r="N7" i="23" s="1"/>
  <c r="U22" i="23"/>
  <c r="F23" i="23"/>
  <c r="N23" i="23" s="1"/>
  <c r="U20" i="23"/>
  <c r="F31" i="22"/>
  <c r="N31" i="22" s="1"/>
  <c r="F25" i="23"/>
  <c r="N25" i="23" s="1"/>
  <c r="F15" i="22"/>
  <c r="N15" i="22" s="1"/>
  <c r="F32" i="22"/>
  <c r="N32" i="22" s="1"/>
  <c r="F13" i="23"/>
  <c r="N13" i="23" s="1"/>
  <c r="F27" i="23"/>
  <c r="N27" i="23" s="1"/>
  <c r="F8" i="23"/>
  <c r="N8" i="23" s="1"/>
  <c r="F14" i="23"/>
  <c r="N14" i="23" s="1"/>
  <c r="F22" i="23"/>
  <c r="N22" i="23" s="1"/>
  <c r="F24" i="22"/>
  <c r="N24" i="22" s="1"/>
  <c r="F19" i="23"/>
  <c r="N19" i="23" s="1"/>
  <c r="F26" i="23"/>
  <c r="N26" i="23" s="1"/>
  <c r="F12" i="23"/>
  <c r="N12" i="23" s="1"/>
  <c r="F18" i="23"/>
  <c r="N18" i="23" s="1"/>
  <c r="F26" i="22"/>
  <c r="N26" i="22" s="1"/>
  <c r="F11" i="23"/>
  <c r="N11" i="23" s="1"/>
  <c r="F20" i="23"/>
  <c r="N20" i="23" s="1"/>
  <c r="F6" i="22"/>
  <c r="N6" i="22" s="1"/>
  <c r="F12" i="22"/>
  <c r="N12" i="22" s="1"/>
  <c r="U19" i="23"/>
  <c r="F16" i="23"/>
  <c r="N16" i="23" s="1"/>
  <c r="F30" i="23"/>
  <c r="N30" i="23" s="1"/>
  <c r="F32" i="23"/>
  <c r="N32" i="23" s="1"/>
  <c r="F30" i="22"/>
  <c r="N30" i="22" s="1"/>
  <c r="F8" i="22"/>
  <c r="N8" i="22" s="1"/>
  <c r="F23" i="22"/>
  <c r="N23" i="22" s="1"/>
  <c r="F25" i="22"/>
  <c r="N25" i="22" s="1"/>
  <c r="F10" i="23"/>
  <c r="N10" i="23" s="1"/>
  <c r="F29" i="22"/>
  <c r="N29" i="22" s="1"/>
  <c r="U19" i="22"/>
  <c r="F18" i="22"/>
  <c r="N18" i="22" s="1"/>
  <c r="F17" i="22"/>
  <c r="N17" i="22" s="1"/>
  <c r="F4" i="22"/>
  <c r="N4" i="22" s="1"/>
  <c r="F27" i="22"/>
  <c r="N27" i="22" s="1"/>
  <c r="F9" i="22"/>
  <c r="N9" i="22" s="1"/>
  <c r="F16" i="22"/>
  <c r="N16" i="22" s="1"/>
  <c r="U21" i="22"/>
  <c r="U22" i="22"/>
  <c r="F5" i="22"/>
  <c r="N5" i="22" s="1"/>
  <c r="F19" i="22"/>
  <c r="N19" i="22" s="1"/>
  <c r="F21" i="22"/>
  <c r="N21" i="22" s="1"/>
  <c r="U21" i="23"/>
  <c r="F7" i="22"/>
  <c r="N7" i="22" s="1"/>
  <c r="F4" i="23"/>
  <c r="N4" i="23" s="1"/>
  <c r="J38" i="22"/>
  <c r="J37" i="22" s="1"/>
  <c r="J45" i="22"/>
  <c r="U18" i="22"/>
  <c r="F14" i="22"/>
  <c r="N14" i="22" s="1"/>
  <c r="F40" i="23"/>
  <c r="V47" i="23" s="1"/>
  <c r="F40" i="22"/>
  <c r="V47" i="22" s="1"/>
  <c r="F13" i="22"/>
  <c r="U12" i="23" a="1"/>
  <c r="U12" i="23" s="1"/>
  <c r="U14" i="23" a="1"/>
  <c r="U14" i="23" s="1"/>
  <c r="U11" i="23" a="1"/>
  <c r="U11" i="23" s="1"/>
  <c r="U13" i="23" a="1"/>
  <c r="U13" i="23" s="1"/>
  <c r="T43" i="23" s="1"/>
  <c r="F3" i="23"/>
  <c r="J45" i="23"/>
  <c r="U18" i="23"/>
  <c r="J38" i="23"/>
  <c r="J37" i="23" s="1"/>
  <c r="U14" i="22" a="1"/>
  <c r="U14" i="22" s="1"/>
  <c r="U13" i="22" a="1"/>
  <c r="U13" i="22" s="1"/>
  <c r="T43" i="22" s="1"/>
  <c r="U12" i="22" a="1"/>
  <c r="U12" i="22" s="1"/>
  <c r="U11" i="22" a="1"/>
  <c r="U11" i="22" s="1"/>
  <c r="E37" i="28" l="1"/>
  <c r="E37" i="27"/>
  <c r="E37" i="26"/>
  <c r="E37" i="31"/>
  <c r="E37" i="30"/>
  <c r="E37" i="33"/>
  <c r="E37" i="32"/>
  <c r="Y30" i="34" a="1"/>
  <c r="Y30" i="34" s="1"/>
  <c r="W30" i="34" a="1"/>
  <c r="W30" i="34" s="1"/>
  <c r="Y30" i="33" a="1"/>
  <c r="Y30" i="33" s="1"/>
  <c r="W30" i="33" a="1"/>
  <c r="W30" i="33" s="1"/>
  <c r="Y30" i="32" a="1"/>
  <c r="Y30" i="32" s="1"/>
  <c r="W30" i="32" a="1"/>
  <c r="W30" i="32" s="1"/>
  <c r="Y30" i="31" a="1"/>
  <c r="Y30" i="31" s="1"/>
  <c r="W30" i="31" a="1"/>
  <c r="W30" i="31" s="1"/>
  <c r="Y30" i="30" a="1"/>
  <c r="Y30" i="30" s="1"/>
  <c r="W30" i="30" a="1"/>
  <c r="W30" i="30" s="1"/>
  <c r="Y30" i="29" a="1"/>
  <c r="Y30" i="29" s="1"/>
  <c r="W30" i="29" a="1"/>
  <c r="W30" i="29" s="1"/>
  <c r="Y30" i="28" a="1"/>
  <c r="Y30" i="28" s="1"/>
  <c r="W30" i="28" a="1"/>
  <c r="W30" i="28" s="1"/>
  <c r="Y30" i="27" a="1"/>
  <c r="Y30" i="27" s="1"/>
  <c r="W30" i="27" a="1"/>
  <c r="W30" i="27" s="1"/>
  <c r="Y30" i="26" a="1"/>
  <c r="Y30" i="26" s="1"/>
  <c r="W30" i="26" a="1"/>
  <c r="W30" i="26" s="1"/>
  <c r="Y30" i="25" a="1"/>
  <c r="Y30" i="25" s="1"/>
  <c r="W30" i="25" a="1"/>
  <c r="W30" i="25" s="1"/>
  <c r="N3" i="22"/>
  <c r="F45" i="22"/>
  <c r="F46" i="22"/>
  <c r="F46" i="23"/>
  <c r="V14" i="22"/>
  <c r="T44" i="22"/>
  <c r="V44" i="22" s="1"/>
  <c r="J46" i="23"/>
  <c r="U39" i="23"/>
  <c r="D34" i="23"/>
  <c r="N3" i="23"/>
  <c r="N34" i="23" s="1"/>
  <c r="F45" i="23"/>
  <c r="G34" i="23" a="1"/>
  <c r="G34" i="23" s="1"/>
  <c r="B38" i="23" a="1"/>
  <c r="B38" i="23" s="1"/>
  <c r="B37" i="23" a="1"/>
  <c r="B37" i="23" s="1"/>
  <c r="T41" i="23"/>
  <c r="V15" i="23"/>
  <c r="V14" i="23"/>
  <c r="T44" i="23"/>
  <c r="V44" i="23" s="1"/>
  <c r="V12" i="23"/>
  <c r="T42" i="23"/>
  <c r="N13" i="22"/>
  <c r="B37" i="22" a="1"/>
  <c r="B37" i="22" s="1"/>
  <c r="V49" i="22" a="1"/>
  <c r="V49" i="22" s="1"/>
  <c r="V48" i="22" a="1"/>
  <c r="V48" i="22" s="1"/>
  <c r="V21" i="22" a="1"/>
  <c r="V21" i="22" s="1"/>
  <c r="V20" i="22" a="1"/>
  <c r="V20" i="22" s="1"/>
  <c r="V22" i="22" a="1"/>
  <c r="V22" i="22" s="1"/>
  <c r="V19" i="22" a="1"/>
  <c r="V19" i="22" s="1"/>
  <c r="V18" i="22" a="1"/>
  <c r="V18" i="22" s="1"/>
  <c r="U42" i="22"/>
  <c r="U42" i="23"/>
  <c r="V20" i="23" a="1"/>
  <c r="V20" i="23" s="1"/>
  <c r="V21" i="23" a="1"/>
  <c r="V21" i="23" s="1"/>
  <c r="V22" i="23" a="1"/>
  <c r="V22" i="23" s="1"/>
  <c r="V19" i="23" a="1"/>
  <c r="V19" i="23" s="1"/>
  <c r="V18" i="23" a="1"/>
  <c r="V18" i="23" s="1"/>
  <c r="V48" i="23" a="1"/>
  <c r="V48" i="23" s="1"/>
  <c r="V49" i="23" a="1"/>
  <c r="V49" i="23" s="1"/>
  <c r="G34" i="22" a="1"/>
  <c r="G34" i="22" s="1"/>
  <c r="B38" i="22" a="1"/>
  <c r="B38" i="22" s="1"/>
  <c r="T41" i="22"/>
  <c r="V15" i="22"/>
  <c r="J46" i="22"/>
  <c r="U39" i="22"/>
  <c r="T42" i="22"/>
  <c r="V12" i="22"/>
  <c r="Y30" i="23" a="1"/>
  <c r="Y30" i="23" s="1"/>
  <c r="W30" i="23" a="1"/>
  <c r="W30" i="23" s="1"/>
  <c r="Y30" i="22" a="1"/>
  <c r="Y30" i="22" s="1"/>
  <c r="W30" i="22" a="1"/>
  <c r="W30" i="22" s="1"/>
  <c r="G2" i="13"/>
  <c r="G3" i="13"/>
  <c r="G4" i="13"/>
  <c r="E38" i="34" l="1"/>
  <c r="E38" i="32"/>
  <c r="E38" i="33"/>
  <c r="E38" i="30"/>
  <c r="E38" i="31"/>
  <c r="C37" i="34"/>
  <c r="E38" i="26"/>
  <c r="E38" i="25"/>
  <c r="E38" i="27"/>
  <c r="E38" i="28"/>
  <c r="E38" i="22"/>
  <c r="E38" i="23"/>
  <c r="N34" i="22"/>
  <c r="V42" i="23"/>
  <c r="V45" i="23" s="1"/>
  <c r="V42" i="22"/>
  <c r="V45" i="22" s="1"/>
  <c r="C37" i="22"/>
  <c r="C37" i="23"/>
  <c r="C37" i="32" l="1"/>
  <c r="C37" i="33"/>
  <c r="C37" i="30"/>
  <c r="C37" i="31"/>
  <c r="C37" i="26"/>
  <c r="C37" i="25"/>
  <c r="C37" i="27"/>
  <c r="C37" i="28"/>
  <c r="C38" i="34" l="1"/>
  <c r="C38" i="32"/>
  <c r="C38" i="33"/>
  <c r="C38" i="30"/>
  <c r="C38" i="31"/>
  <c r="C38" i="25"/>
  <c r="C38" i="22"/>
  <c r="C38" i="26"/>
  <c r="C38" i="27"/>
  <c r="C38" i="28"/>
  <c r="C38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0A8B5C5F-8EF2-4581-8575-5C6C2F56B62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1C197189-9C7D-4337-B14F-C16134010D4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C8DE7D3F-62EF-4DB8-B0F6-6504C3FECFD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94041BFF-6F5E-4D8E-A814-E22F2EE9DA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CF1BCD80-E152-40A8-A2B2-0EE08ADA5D5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F607F325-F0E2-4F4A-B70A-7B673EC9BB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B767F0B7-4B85-4C22-90AA-27AB7A5E4FC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D8C2C133-F493-4B32-8480-4527BEFC820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DBF265B3-B4CE-4DCA-A2C5-214B9D7E46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F6CAF361-D9F0-4A5A-8E97-23510B07F59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A7D52C41-0F2C-4F58-90D2-8889765CF803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5A94969B-F13C-402B-AB52-5728BAE1964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7FA0CEC0-7243-4C3A-8B3E-00681C84E3D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54B0913E-59D8-4AE3-95E6-8FD6578C178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57766248-FF65-4365-A762-4C67F1A7936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C30AA09A-1E22-41A2-BD22-908D1027E0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76AF4DB5-54D9-460D-BE78-A7470EED1B5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DB66F46E-FF02-4F0D-91EE-E2BF12678E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2A2CC2A3-731F-4198-BA8E-9A75CFBB836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69259756-FF1D-4917-87C5-27A684B641C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E2A50A45-1275-4A13-9D62-65904C7CBB2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EA5A61DC-D301-4FE8-A181-602321DA975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2651D45F-E7C4-490D-9193-D01DB9A7E8F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42015B84-CB4A-4BDB-9A10-FC92F72AA8B3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B2496F29-5DF5-4387-A760-F90F73B2D02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F62D911B-6BDC-4BF9-B8C2-6DD6E48B89A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46889529-6D5F-4416-B916-6711683B41C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8952D670-CC6D-4E2E-8746-681C7EF0AC1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19D447F6-655B-4537-BFEF-1EC8AD81A1B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3804C396-17E8-4961-8804-552F85C767E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03E538AD-71B8-40C1-8678-FE909268B66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51379636-E87F-47D9-833B-CE03AABAABE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5957147C-03F9-4654-BA78-2DD3B98268F3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B85C4C0C-9544-4C85-A245-5D5764CAF15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12D5837C-719A-4FA4-9423-AA3FD2F526E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18DC674C-A681-41EF-B20C-6397EED3C75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0A09C013-AD5B-46BD-BDF5-00FA3CF6498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9B98FC2E-B3D6-4880-8C67-594C8377F2C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CD4AB122-85AF-4945-9183-A9BFE0B5EDB3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75968170-58F8-4DD6-BE9D-27F74159D82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9BC0F85A-91B8-4FFE-8634-AED8B14C170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ED6BE20A-0F04-4C20-B546-F7EFC6A43D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20AC501C-088E-4E57-88B7-67BB4C8E259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498B678D-8232-4B6A-B22B-8473CFEFBCC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ED642AFB-6096-4C15-A254-13CE26C8650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7499A1AB-6F15-47E3-8856-EB404A27752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7901735F-EBF1-4E07-A5DF-F2C3C365273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7316FCD8-1E92-447D-9B2A-4E08C528CC1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8BE4A53D-5506-4B18-8CE7-396B9E46453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4C58F86C-E86A-40B1-8CCC-FB84DC5534C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FA931625-26D2-4671-B404-0789EE7506F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83A33193-1239-4952-81C1-867B1B6C45A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187DB220-A197-4A0F-B951-D906A33E986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A02C8FD6-E9B6-4AAC-A286-C75D1A97691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234C049F-DCD8-4740-9C93-830CAF69D7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8306A694-0AC3-431C-9BBD-B495698044A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B08FD12A-DAC1-405B-B005-54BDEE17EDF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C64CEAE4-90E8-49B3-9FAA-056FF8B45F5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C9E3CBCB-33EA-48CF-8E83-0D7D87A293B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C18679D3-24CE-4743-86B8-81515A91527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2EAEDBE3-C2AE-4B4F-8061-3DB8340AF7F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4A1F925E-2C66-4B7C-90D7-06E6D1DA955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48B9DD3F-2095-4097-B0D1-75BB12C4885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E38AF24B-61C3-4A02-978A-1E9A1D95664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3158EF10-6C82-4B6E-92DB-7973578B9A1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3439C182-4304-49ED-9B45-8EA42F82BF7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9DEB870F-7900-44CB-85CF-472376EDA86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4889C61F-1159-46E3-9C67-8CA1810E9ED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14E0973D-5FB8-4F16-AB2E-6413C84CA64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42B1E0D5-E20B-46B7-93B5-A99CBF0C49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DE9B7494-E108-4C38-A85D-10A8F9C6CFB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6F15627F-50C9-47F8-8A97-DE843463012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5941FD66-2969-44AE-A7B7-659210929AC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AF7F654F-72AC-4CCA-B487-DDB9A74013D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B5129407-DCCF-42D4-858D-78B142EC046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5E4912AF-7BD6-4EB0-ABD8-762A1017A32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BE60F044-2608-425C-983D-0489B83D44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031400AF-976C-4EA1-96E0-815D0684FF6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3B051F0F-0F53-46FD-A4FB-50D43395DFD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4B698795-14B5-4D94-BD18-3D3BF154B7D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CA7611AE-DFF8-4F59-B61C-7B397E6A35E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A1EC80A4-C8F2-47FC-8104-D4B54F59AAF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6EDEB46B-0C7D-4CCA-A82D-CC996288782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67765727-EEC7-4040-9996-4B3F91571AA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D8D2A2BC-DDD1-4C52-9967-B10521D42EA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446A50DC-DC00-4550-B7D5-9119D1ED24B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5BE7291D-D414-4471-BB7F-AF2918456C4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3B25807B-C95D-499B-A76D-5A3835AD854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4FDB7706-30E1-4417-8C9C-5FD78E18C7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8F34E6FC-F3B1-437D-AA58-3BA69E5F261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AA89C8C1-D044-4362-846A-EEEFCE3CA43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0E2A4EB3-296C-4238-A02F-03A5310083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9786382F-DB1A-4471-B422-2C30140F70F3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AD80A6E0-BE07-4814-9227-26E41FCF33C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9A2C6F15-39B6-44D2-861F-AF0119BB033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BBBDEE4B-C489-4742-A59B-542071D4EB0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5F3093F7-4462-4A4E-A020-690A857C4E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EB22E47B-BEEC-47AF-A186-885E4D47C65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F942E42B-5E64-42D7-9BF6-61DA45DDE50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ADA14653-DC70-4E93-B190-5AAEAAF4CFC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C683566B-1EFA-4AC9-B26E-571FA0714DE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1E5B61D4-D35E-4CED-B699-C53B2AED21A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4E8FFC7F-C9E3-4CBD-9E06-6ECCB1B4DB4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3D52933D-85A6-426A-B06F-9AA33BB840C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9800E487-03FA-418E-98D4-7F8B0F486C0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B4C53B35-FD38-46F7-A38B-F000EEA12D3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AD255204-605D-40B3-8F27-8B35B74A4CC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972AF181-FF23-4976-8016-1BB1BC9AFE0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D820C3B6-9A70-4C71-9130-5E1C7CF47B5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DED57ACE-D188-4171-8FE2-06319C52EA83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BD0509F6-88EF-47F7-A7D5-638FD66737D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FF5C6AF5-93D9-4893-AA5E-557AF0068EA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58FE0EE2-ED30-4A3B-B904-BF96CC38E02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D08008E2-276E-4F80-9D05-68CA37EC2C0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BE27DB0E-9F73-4CBD-89DD-A2D90465BFB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DA12EDA8-2280-4D6F-AD3B-37D7896FFA5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4C9FBAB0-52C2-480D-969B-FA146C7855F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1AD3AA9A-EC8C-4EE9-9466-D7A40759CBD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968C8F4E-CCDB-438C-BB50-D16AAD30A84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FC0E4AF1-AE21-4164-91A0-5A19551B2AF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D460C6B5-608C-42F7-9336-FA33BA004B7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CAAC4BBD-EC33-43DA-9927-1FEA40FA620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C62597E7-645A-4190-8149-FCD17F2153E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DBC42057-DADE-42AB-9F65-66AEF3266DF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E933429A-2D40-401D-BA35-037D43C1982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75BBEBA6-7CDC-436A-8813-ED614344A7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33E6F2AA-A710-4A13-A091-6DCA2A12DF5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0787DB6B-3DAF-4347-83FC-764F5BD9B45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A92F86A8-D220-4096-9C51-CDF7A7763E8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0656BEC8-C80B-4282-966E-77BCA531DA9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30A298A0-1C2E-47D1-BD5B-00B537C7A16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3D2CC8C9-1461-41D4-BF66-58AC024ECC4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E4A3F4F6-F6BE-4BC7-9C64-9718D43E9A6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BC957667-0788-4B33-928D-5E5D3FE038E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8D827A8B-9717-4A64-93A1-E0DDB4CC3B9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0D86C53E-C079-4F75-A2EA-C13CBD87739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AC03F805-AE91-44EA-9461-F95BC8DC209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1C52A6BB-5993-4561-BD9C-39DDA990DB5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0435EFB8-3270-4701-A5BC-31F1C79F58D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9CC6C861-3828-4841-ADEE-48F2E7E4227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366692D9-CDB6-47EF-9E09-8EE243B26F6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A96F2B84-06D0-40CC-A4DC-6838517460B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3F05CC23-D6FD-459F-A543-58FEF290D3E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C08A938A-1E99-4602-A6F3-97BAC74480FF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56C97C05-118F-4C7E-B5D1-EA23B9D5286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878C3D6E-933E-427C-B8D6-62EE68C672C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E039C1A8-717F-4873-9096-BE68123FA96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02DD5BF2-D282-49DA-92F4-161C48547A6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45FAD503-AAD6-4E5D-97C9-71BBFC442DE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D98E9B83-2386-45F1-8CF2-582B09C01B4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C16A0413-2817-4181-9EFC-6A3AD7AF93D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82530281-C598-4A28-9310-B9E6384F7B9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213B77CE-7EEF-422D-9AEA-5BD84A858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E9BC331B-1380-4150-86E6-6A7B9C7CAB5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BDBD1F32-8654-4BAD-95BD-D8B9FB8BE30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2ABD7E2F-1C27-42CD-96FB-CAC897502383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4908C879-9DB9-4C54-970C-5F51B508F54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F8B1142D-AA03-45E5-B677-4EAA27B11D0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9A383D01-8F6A-433F-9CA7-3E86EEAA899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3F129960-4924-481C-B76C-8BD2165E97D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40756C30-8379-4925-B477-010003EC601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3A4344D4-56A5-4624-8EC3-971184F7FEE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C37752BC-13CB-4FDC-B4C6-9E491BC2641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B2" authorId="0" shapeId="0" xr:uid="{3FC1A166-5AE5-4881-9A1D-2A5A1105AED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Time In
</t>
        </r>
      </text>
    </comment>
    <comment ref="C2" authorId="0" shapeId="0" xr:uid="{D4770347-A3EB-4178-B610-7E1C7DD6E45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Start</t>
        </r>
      </text>
    </comment>
    <comment ref="D2" authorId="0" shapeId="0" xr:uid="{F95CA487-4AE2-4D4E-9B1A-8D4FCA740B1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Break End
</t>
        </r>
      </text>
    </comment>
    <comment ref="E2" authorId="0" shapeId="0" xr:uid="{49718525-A988-4F0B-BA2A-5FE77D571BE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End Shift / OT In</t>
        </r>
      </text>
    </comment>
    <comment ref="F2" authorId="0" shapeId="0" xr:uid="{8B360274-286C-41F2-AFF1-25C1BDD92B5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Hours Short</t>
        </r>
      </text>
    </comment>
    <comment ref="G2" authorId="0" shapeId="0" xr:uid="{5494C151-F763-4C35-B18F-B682F16F044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In</t>
        </r>
      </text>
    </comment>
    <comment ref="H2" authorId="0" shapeId="0" xr:uid="{87F1FF90-F048-4D31-A30B-9AE5207B843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Override OT In</t>
        </r>
      </text>
    </comment>
    <comment ref="I2" authorId="0" shapeId="0" xr:uid="{D888A708-E14F-4EDB-822D-4C5D9B681059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Out</t>
        </r>
      </text>
    </comment>
    <comment ref="J2" authorId="0" shapeId="0" xr:uid="{ADF70620-24C9-4537-87C5-B97EC05FD65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Overtime Hours</t>
        </r>
      </text>
    </comment>
    <comment ref="K2" authorId="0" shapeId="0" xr:uid="{9E1377D3-FFA3-4B7A-8D83-125DE7B76B5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Attandance
</t>
        </r>
      </text>
    </comment>
    <comment ref="L2" authorId="0" shapeId="0" xr:uid="{6D4CD11B-C081-4906-B074-D588DE0FC12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OT Rate Type</t>
        </r>
      </text>
    </comment>
    <comment ref="B36" authorId="0" shapeId="0" xr:uid="{328753F1-6B28-4F86-A339-FD8C6832516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Month</t>
        </r>
      </text>
    </comment>
    <comment ref="C36" authorId="0" shapeId="0" xr:uid="{FAEAC6D5-D102-4D1E-B863-E25848E76E5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Present / Year</t>
        </r>
      </text>
    </comment>
    <comment ref="D36" authorId="0" shapeId="0" xr:uid="{3A062C8A-3F14-4091-9730-52B955519E7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Month Attandance</t>
        </r>
      </text>
    </comment>
    <comment ref="E36" authorId="0" shapeId="0" xr:uid="{75E5C628-5F0B-4295-84E8-D6AF9A42616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Full Year Attandance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<sst xmlns="http://schemas.openxmlformats.org/spreadsheetml/2006/main" count="2366" uniqueCount="481">
  <si>
    <t>DATE</t>
  </si>
  <si>
    <t>ADVANCE</t>
  </si>
  <si>
    <t>TOTAL</t>
  </si>
  <si>
    <t>EXTRA ALLOWANCE</t>
  </si>
  <si>
    <t>T/I</t>
  </si>
  <si>
    <t>Company Name</t>
  </si>
  <si>
    <t>EPF/KWSP Employer No.</t>
  </si>
  <si>
    <t>Bank Name</t>
  </si>
  <si>
    <t>Year</t>
  </si>
  <si>
    <t>Slip Title</t>
  </si>
  <si>
    <t>PAYSLIP</t>
  </si>
  <si>
    <t>Registration No.</t>
  </si>
  <si>
    <t>SOCSO Employer No.</t>
  </si>
  <si>
    <t>Bank Account Name</t>
  </si>
  <si>
    <t>Pay Cycle</t>
  </si>
  <si>
    <t>Monthly</t>
  </si>
  <si>
    <t>Show Logo (Yes/No)</t>
  </si>
  <si>
    <t>Yes</t>
  </si>
  <si>
    <t>Address Line 1</t>
  </si>
  <si>
    <t>EIS Employer No.</t>
  </si>
  <si>
    <t>Bank Account No.</t>
  </si>
  <si>
    <t>Default Pay Day</t>
  </si>
  <si>
    <t>Theme Color</t>
  </si>
  <si>
    <t>#1F497D</t>
  </si>
  <si>
    <t>Address Line 2</t>
  </si>
  <si>
    <t>Income Tax (LHDN) Employer No.</t>
  </si>
  <si>
    <t>Payment Method</t>
  </si>
  <si>
    <t>Transfer</t>
  </si>
  <si>
    <t>Weekend Pattern</t>
  </si>
  <si>
    <t>Sat-Sun</t>
  </si>
  <si>
    <t>Footer Note 1</t>
  </si>
  <si>
    <t>City</t>
  </si>
  <si>
    <t>HRD Corp No.</t>
  </si>
  <si>
    <t>Payment Ref Template</t>
  </si>
  <si>
    <t>PAYSLIP-{YYYY}{MM}-{EmpID}</t>
  </si>
  <si>
    <t>Work Days Per Week</t>
  </si>
  <si>
    <t>Footer Note 2</t>
  </si>
  <si>
    <t>Postcode</t>
  </si>
  <si>
    <t>SST/GST Reg No.</t>
  </si>
  <si>
    <t>Work Hours Per Day</t>
  </si>
  <si>
    <t>Signatory Name</t>
  </si>
  <si>
    <t>State</t>
  </si>
  <si>
    <t>Min Hours For Full Day</t>
  </si>
  <si>
    <t>Signatory Title</t>
  </si>
  <si>
    <t>Country</t>
  </si>
  <si>
    <t>Currency Code</t>
  </si>
  <si>
    <t>MYR</t>
  </si>
  <si>
    <t>Signatory Contact</t>
  </si>
  <si>
    <t>Phone</t>
  </si>
  <si>
    <t>Decimal Places</t>
  </si>
  <si>
    <t>Email</t>
  </si>
  <si>
    <t>Highlight Style</t>
  </si>
  <si>
    <t>PublicHoliday</t>
  </si>
  <si>
    <t>Website</t>
  </si>
  <si>
    <t>Half-Day Threshold Hours (optional)</t>
  </si>
  <si>
    <t>Allow Absence FULLCUT? (Yes/No)</t>
  </si>
  <si>
    <t>No</t>
  </si>
  <si>
    <t>Code</t>
  </si>
  <si>
    <t>Allowance Name</t>
  </si>
  <si>
    <t>Monthly Amount</t>
  </si>
  <si>
    <t>Calc Mode</t>
  </si>
  <si>
    <t>Include in EPF</t>
  </si>
  <si>
    <t>Include in SOCSO</t>
  </si>
  <si>
    <t>Include in EIS</t>
  </si>
  <si>
    <t>FULLCUT</t>
  </si>
  <si>
    <t>PRORATE</t>
  </si>
  <si>
    <t>FIXED</t>
  </si>
  <si>
    <t>SOSCO</t>
  </si>
  <si>
    <t>Min RM</t>
  </si>
  <si>
    <t>Max RM</t>
  </si>
  <si>
    <t>Employer Cat 1 RM</t>
  </si>
  <si>
    <t>Employee Cat 1 RM</t>
  </si>
  <si>
    <t>Total Cat 1 RM</t>
  </si>
  <si>
    <t>Employer Cat 2 RM</t>
  </si>
  <si>
    <t>Employer EIS RM</t>
  </si>
  <si>
    <t>Employee EIS RM</t>
  </si>
  <si>
    <t>Total EIS RM</t>
  </si>
  <si>
    <t>EIS</t>
  </si>
  <si>
    <t>Employer RM</t>
  </si>
  <si>
    <t>Employee RM</t>
  </si>
  <si>
    <t>Total RM</t>
  </si>
  <si>
    <t>BELOW 60</t>
  </si>
  <si>
    <t>ABOVE 60</t>
  </si>
  <si>
    <t>Hari Raya Aidilfitri</t>
  </si>
  <si>
    <t>Hari Raya Haji</t>
  </si>
  <si>
    <t>Awal Muharram</t>
  </si>
  <si>
    <t>Date</t>
  </si>
  <si>
    <t>Day</t>
  </si>
  <si>
    <t>Holiday</t>
  </si>
  <si>
    <t>Where a holiday falls on weekly rest day, the following day will be substituted as the holiday.</t>
  </si>
  <si>
    <t>Public Holiday</t>
  </si>
  <si>
    <t>Break Minutes</t>
  </si>
  <si>
    <t>Default EPF Employee % (Below 60)</t>
  </si>
  <si>
    <t>Default EPF Employer % (Below 60)</t>
  </si>
  <si>
    <t>Default EPF Employer % (Age 60+)</t>
  </si>
  <si>
    <t>Default SOCSO Category</t>
  </si>
  <si>
    <t>EIS Apply</t>
  </si>
  <si>
    <t>Net Pay Rounding</t>
  </si>
  <si>
    <t>SOCSO Cat 1</t>
  </si>
  <si>
    <t>Value</t>
  </si>
  <si>
    <t>Note</t>
  </si>
  <si>
    <t>Shift Code</t>
  </si>
  <si>
    <t>Start Time</t>
  </si>
  <si>
    <t>End Time</t>
  </si>
  <si>
    <t>End Next Day (Yes/No)</t>
  </si>
  <si>
    <t>Paid Break (Yes/No)</t>
  </si>
  <si>
    <t>Planned Hours</t>
  </si>
  <si>
    <t>D9</t>
  </si>
  <si>
    <t>N12</t>
  </si>
  <si>
    <t>D12</t>
  </si>
  <si>
    <t>Staff ID</t>
  </si>
  <si>
    <t>Staff Name</t>
  </si>
  <si>
    <t>Work Pattern</t>
  </si>
  <si>
    <t>Type Detail</t>
  </si>
  <si>
    <t>Weekly Off: Mon</t>
  </si>
  <si>
    <t>Weekly Off: Tue</t>
  </si>
  <si>
    <t>Weekly Off: Wed</t>
  </si>
  <si>
    <t>Weekly Off: Thu</t>
  </si>
  <si>
    <t>Weekly Off: Fri</t>
  </si>
  <si>
    <t>Weekly Off: Sat</t>
  </si>
  <si>
    <t>Weekly Off: Sun</t>
  </si>
  <si>
    <t>Default Shift Code</t>
  </si>
  <si>
    <t>Rotation Start Date</t>
  </si>
  <si>
    <t>Rotation Length (days)</t>
  </si>
  <si>
    <t>Pattern ID</t>
  </si>
  <si>
    <t>Observe Public Holidays (Yes/No)</t>
  </si>
  <si>
    <t>E001</t>
  </si>
  <si>
    <t>Rosli</t>
  </si>
  <si>
    <t>Fixed Weekly</t>
  </si>
  <si>
    <t>—</t>
  </si>
  <si>
    <t>E002/A</t>
  </si>
  <si>
    <t>Ali</t>
  </si>
  <si>
    <t>Roster 4-2</t>
  </si>
  <si>
    <t>R42</t>
  </si>
  <si>
    <t>PatternID</t>
  </si>
  <si>
    <t>LengthDays</t>
  </si>
  <si>
    <t>Day1</t>
  </si>
  <si>
    <t>Day2</t>
  </si>
  <si>
    <t>Day3</t>
  </si>
  <si>
    <t>Day4</t>
  </si>
  <si>
    <t>Day5</t>
  </si>
  <si>
    <t>Day6</t>
  </si>
  <si>
    <t>Day7</t>
  </si>
  <si>
    <t>Day8</t>
  </si>
  <si>
    <t>Day9</t>
  </si>
  <si>
    <t>Day10</t>
  </si>
  <si>
    <t>Day11</t>
  </si>
  <si>
    <t>Day12</t>
  </si>
  <si>
    <t>Day13</t>
  </si>
  <si>
    <t>Day14</t>
  </si>
  <si>
    <t>Day15</t>
  </si>
  <si>
    <t>Day16</t>
  </si>
  <si>
    <t>Day17</t>
  </si>
  <si>
    <t>Day18</t>
  </si>
  <si>
    <t>Day19</t>
  </si>
  <si>
    <t>Day20</t>
  </si>
  <si>
    <t>Day21</t>
  </si>
  <si>
    <t>Day22</t>
  </si>
  <si>
    <t>Day23</t>
  </si>
  <si>
    <t>Day24</t>
  </si>
  <si>
    <t>Day25</t>
  </si>
  <si>
    <t>Day26</t>
  </si>
  <si>
    <t>Day27</t>
  </si>
  <si>
    <t>Day28</t>
  </si>
  <si>
    <t>Day29</t>
  </si>
  <si>
    <t>Day30</t>
  </si>
  <si>
    <t>Day31</t>
  </si>
  <si>
    <t>OFF</t>
  </si>
  <si>
    <t>R6N</t>
  </si>
  <si>
    <t>StaffID</t>
  </si>
  <si>
    <t>ShiftOrOFF</t>
  </si>
  <si>
    <t>E002</t>
  </si>
  <si>
    <t>Swap off</t>
  </si>
  <si>
    <t>Full Name</t>
  </si>
  <si>
    <t>IC/Passport</t>
  </si>
  <si>
    <t>Date of Birth</t>
  </si>
  <si>
    <t>Join Date</t>
  </si>
  <si>
    <t>Employment Type</t>
  </si>
  <si>
    <t>Permanent / Contract / Part-time</t>
  </si>
  <si>
    <t>Department</t>
  </si>
  <si>
    <t>Designation</t>
  </si>
  <si>
    <t>Work Location State</t>
  </si>
  <si>
    <t>Override company state if different</t>
  </si>
  <si>
    <t>Pay Type</t>
  </si>
  <si>
    <t>Monthly / Daily / Hourly</t>
  </si>
  <si>
    <t>Basic Salary</t>
  </si>
  <si>
    <t>Daily Rate</t>
  </si>
  <si>
    <t>Hourly Rate</t>
  </si>
  <si>
    <t>Observe Public Holidays</t>
  </si>
  <si>
    <t>Yes / No</t>
  </si>
  <si>
    <t>Fixed Weekly / Roster / Always Work / Custom Calendar</t>
  </si>
  <si>
    <t>Weekly Off Mon</t>
  </si>
  <si>
    <t>Yes / No (use if Fixed Weekly)</t>
  </si>
  <si>
    <t>Weekly Off Tue</t>
  </si>
  <si>
    <t>Weekly Off Wed</t>
  </si>
  <si>
    <t>Weekly Off Thu</t>
  </si>
  <si>
    <t>Weekly Off Fri</t>
  </si>
  <si>
    <t>Weekly Off Sat</t>
  </si>
  <si>
    <t>Weekly Off Sun</t>
  </si>
  <si>
    <t>Refer to shifts</t>
  </si>
  <si>
    <t>Rotation Pattern ID</t>
  </si>
  <si>
    <t>Use if Roster</t>
  </si>
  <si>
    <t>Rotation Length Days</t>
  </si>
  <si>
    <t>OT Eligible</t>
  </si>
  <si>
    <t>EPF Age Group</t>
  </si>
  <si>
    <t>Below 60</t>
  </si>
  <si>
    <t>Below 60 / Age 60+</t>
  </si>
  <si>
    <t>EPF Employee %</t>
  </si>
  <si>
    <t>EPF Employer %</t>
  </si>
  <si>
    <t>SOCSO Category</t>
  </si>
  <si>
    <t>SOCSO Cat 1 / SOCSO Cat 2</t>
  </si>
  <si>
    <t>Public Holiday Allowance (days)</t>
  </si>
  <si>
    <t>Annual Leave Entitlement (days)</t>
  </si>
  <si>
    <t>Sick Leave Entitlement (days)</t>
  </si>
  <si>
    <t>Carry Forward Leave (days)</t>
  </si>
  <si>
    <t>Bank Account</t>
  </si>
  <si>
    <t>Income Tax Number</t>
  </si>
  <si>
    <t>Zakat Monthly Deduction</t>
  </si>
  <si>
    <t>Payslip Title Override</t>
  </si>
  <si>
    <t>Payslip Footer Note Override</t>
  </si>
  <si>
    <t>DAILY CALCULATOR</t>
  </si>
  <si>
    <t>ES/OI</t>
  </si>
  <si>
    <t>BS</t>
  </si>
  <si>
    <t>BE</t>
  </si>
  <si>
    <t>OT/I</t>
  </si>
  <si>
    <t>OT/O</t>
  </si>
  <si>
    <t>OT/H</t>
  </si>
  <si>
    <t>O/OT/I</t>
  </si>
  <si>
    <t>Present</t>
  </si>
  <si>
    <t>Rest Day</t>
  </si>
  <si>
    <t>Annual Leave</t>
  </si>
  <si>
    <t>Sick Leave</t>
  </si>
  <si>
    <t>Attendance Status List</t>
  </si>
  <si>
    <t>Break Start</t>
  </si>
  <si>
    <t>Break End</t>
  </si>
  <si>
    <t>HS</t>
  </si>
  <si>
    <t>OT Break Duration</t>
  </si>
  <si>
    <t>OT Break Threshold Hours</t>
  </si>
  <si>
    <t>Unpaid OT break per cycle (hh:mm). Deduct 6 minutes for each full 1 hour of OT. Staff override allowed in staffsettings.</t>
  </si>
  <si>
    <t>Hours per cycle that triggers the OT break. Full cycles only. With 0:06 &amp; 1.00 → deduct 6 min for every full 1h OT (e.g., 10.5h OT → 10 cycles → 60 min deducted → net 9.5h).</t>
  </si>
  <si>
    <t>Monthly base (RM) if Pay Type=Monthly</t>
  </si>
  <si>
    <t>Time per day (h:mm) or decimal hours</t>
  </si>
  <si>
    <t>Default break start (h:mm)</t>
  </si>
  <si>
    <t>Default break end (h:mm)</t>
  </si>
  <si>
    <t>Override: leave blank to use company default</t>
  </si>
  <si>
    <t>Default Pay Scheme</t>
  </si>
  <si>
    <t>Standard</t>
  </si>
  <si>
    <t>Standard / Premium / Special (company-defined)</t>
  </si>
  <si>
    <t>Pay Scheme Factor Override</t>
  </si>
  <si>
    <t>Optional multiplier (e.g. 1.20). Blank = use scheme default</t>
  </si>
  <si>
    <t>Monthly Present Without Time</t>
  </si>
  <si>
    <t>Paid</t>
  </si>
  <si>
    <t>Paid / Unpaid (controls HS for Monthly when B/E empty)</t>
  </si>
  <si>
    <t>Half Day Credit</t>
  </si>
  <si>
    <t>Default paid fraction for Half Day (0.5 typical)</t>
  </si>
  <si>
    <t>Special</t>
  </si>
  <si>
    <t>Hrs</t>
  </si>
  <si>
    <t>DEDUCTIONS</t>
  </si>
  <si>
    <t>Profile &amp; Employment</t>
  </si>
  <si>
    <t>Statutory</t>
  </si>
  <si>
    <t>Bank &amp; Payslip</t>
  </si>
  <si>
    <t>Pay Structure</t>
  </si>
  <si>
    <t>Working Hours Defaults</t>
  </si>
  <si>
    <t>OT Rules &amp; Scheme</t>
  </si>
  <si>
    <t>Work Pattern &amp; Weekly Off</t>
  </si>
  <si>
    <t>Roster / Rotation</t>
  </si>
  <si>
    <t>OT Defaults &amp; Rates</t>
  </si>
  <si>
    <t>Override per staff (blank = company)</t>
  </si>
  <si>
    <t>Override per staff (blank = table or company)</t>
  </si>
  <si>
    <t>Optional</t>
  </si>
  <si>
    <t>Company Profile</t>
  </si>
  <si>
    <t>Registration &amp; Tax</t>
  </si>
  <si>
    <t>Banking &amp; Payment</t>
  </si>
  <si>
    <t>Payroll Cycle</t>
  </si>
  <si>
    <t>Work Rules</t>
  </si>
  <si>
    <t>Display &amp; Branding</t>
  </si>
  <si>
    <t>Statutory Defaults</t>
  </si>
  <si>
    <t>Signatory</t>
  </si>
  <si>
    <t>OT &amp; Break Defaults</t>
  </si>
  <si>
    <t>MOHD AZLIN NASUTION BIN ABDUL AZIZ</t>
  </si>
  <si>
    <t>MBB</t>
  </si>
  <si>
    <t>761210-14-5715</t>
  </si>
  <si>
    <t>LOGO</t>
  </si>
  <si>
    <t>SA0019087-A</t>
  </si>
  <si>
    <t>admin@acaciadreams.com</t>
  </si>
  <si>
    <t>www.acaciadreams.com</t>
  </si>
  <si>
    <t>Tiktok</t>
  </si>
  <si>
    <t>Facebook</t>
  </si>
  <si>
    <t>Instagram</t>
  </si>
  <si>
    <t>@acaciadreams.my</t>
  </si>
  <si>
    <t>Youtube</t>
  </si>
  <si>
    <t>Twitter</t>
  </si>
  <si>
    <t>Fax</t>
  </si>
  <si>
    <t>WhatsApp</t>
  </si>
  <si>
    <t>60327702809</t>
  </si>
  <si>
    <t>No. 14 &amp; 16 Jalan Vista 1/9</t>
  </si>
  <si>
    <t>Taman Desa Vista</t>
  </si>
  <si>
    <t>Sepang</t>
  </si>
  <si>
    <t>Selangor</t>
  </si>
  <si>
    <t>Malaysia</t>
  </si>
  <si>
    <t>Seperator</t>
  </si>
  <si>
    <t>BASIC EARNINGS</t>
  </si>
  <si>
    <t>@acaciadreamsmy</t>
  </si>
  <si>
    <t>OVERTIME</t>
  </si>
  <si>
    <t>OVERTIME  EARNINGS</t>
  </si>
  <si>
    <t>BASIC</t>
  </si>
  <si>
    <t>P</t>
  </si>
  <si>
    <t>AL</t>
  </si>
  <si>
    <t>SL</t>
  </si>
  <si>
    <t>HD</t>
  </si>
  <si>
    <t>Half Day</t>
  </si>
  <si>
    <t>OT</t>
  </si>
  <si>
    <t>ATT</t>
  </si>
  <si>
    <t>S</t>
  </si>
  <si>
    <t>PR</t>
  </si>
  <si>
    <t>Public Holiday on Rest Day</t>
  </si>
  <si>
    <t>N</t>
  </si>
  <si>
    <t>Normal</t>
  </si>
  <si>
    <t>DD</t>
  </si>
  <si>
    <t>Annual Leave Balance</t>
  </si>
  <si>
    <t>WD</t>
  </si>
  <si>
    <t>WDI</t>
  </si>
  <si>
    <t>PS</t>
  </si>
  <si>
    <t>Attandance</t>
  </si>
  <si>
    <t>Overtime</t>
  </si>
  <si>
    <t>Indoor Daily Rate</t>
  </si>
  <si>
    <t>Indoor Hourly Rate</t>
  </si>
  <si>
    <t>PH on Rest Day</t>
  </si>
  <si>
    <t>Priority list</t>
  </si>
  <si>
    <t>11 Options</t>
  </si>
  <si>
    <t>Days</t>
  </si>
  <si>
    <t>Public Holiday (Observed)</t>
  </si>
  <si>
    <t xml:space="preserve">Fixed Weekly </t>
  </si>
  <si>
    <t>Weekly Off Days</t>
  </si>
  <si>
    <t>ORP Daily Basis</t>
  </si>
  <si>
    <t>26 = industry baseline; Actual Workdays = use F37</t>
  </si>
  <si>
    <t>Full Day</t>
  </si>
  <si>
    <t>FD</t>
  </si>
  <si>
    <t>MISC</t>
  </si>
  <si>
    <t>Hours Short WD</t>
  </si>
  <si>
    <t>Hours Short WDI</t>
  </si>
  <si>
    <t>RD</t>
  </si>
  <si>
    <t>Default</t>
  </si>
  <si>
    <t>Note / User Friendly Name</t>
  </si>
  <si>
    <t>Note / User Friendly Name WDI</t>
  </si>
  <si>
    <t>FullCut Limit</t>
  </si>
  <si>
    <t>Base Days Override</t>
  </si>
  <si>
    <t>Fuel Allow.</t>
  </si>
  <si>
    <t>Fixed Allow.</t>
  </si>
  <si>
    <t>01</t>
  </si>
  <si>
    <t>02</t>
  </si>
  <si>
    <t>03</t>
  </si>
  <si>
    <t>Attendance Allowance</t>
  </si>
  <si>
    <t>04</t>
  </si>
  <si>
    <t>05</t>
  </si>
  <si>
    <t>06</t>
  </si>
  <si>
    <t>07</t>
  </si>
  <si>
    <t>08</t>
  </si>
  <si>
    <t>09</t>
  </si>
  <si>
    <t>10</t>
  </si>
  <si>
    <t>Period</t>
  </si>
  <si>
    <t>MONTHLY</t>
  </si>
  <si>
    <t>ANNUAL</t>
  </si>
  <si>
    <t>PM</t>
  </si>
  <si>
    <t>SUMMARY</t>
  </si>
  <si>
    <t>FULL</t>
  </si>
  <si>
    <t>YES</t>
  </si>
  <si>
    <t>FMA</t>
  </si>
  <si>
    <t>FYA</t>
  </si>
  <si>
    <t>Hours</t>
  </si>
  <si>
    <t>PY</t>
  </si>
  <si>
    <t>Month</t>
  </si>
  <si>
    <t>Khamis</t>
  </si>
  <si>
    <t>Tahun Baru</t>
  </si>
  <si>
    <t>Ahad</t>
  </si>
  <si>
    <t>Hari Thaipusam</t>
  </si>
  <si>
    <t>Isnin</t>
  </si>
  <si>
    <t>Cuti Hari Thaipusam</t>
  </si>
  <si>
    <t>Selasa</t>
  </si>
  <si>
    <t>Tahun Baru Cina</t>
  </si>
  <si>
    <t>Rabu</t>
  </si>
  <si>
    <t>Tahun Baru Cina Hari Kedua</t>
  </si>
  <si>
    <t>Sabtu</t>
  </si>
  <si>
    <t>Hari Nuzul Al-Quran</t>
  </si>
  <si>
    <t>Jumaat</t>
  </si>
  <si>
    <t>Hari Pekerja</t>
  </si>
  <si>
    <t>Hari Wesak</t>
  </si>
  <si>
    <t>Hari Keputeraan YDP Agong</t>
  </si>
  <si>
    <t>Cuti Hari Wesak</t>
  </si>
  <si>
    <t>Maulidur Rasul</t>
  </si>
  <si>
    <t>Hari Kebangsaan</t>
  </si>
  <si>
    <t>Hari Malaysia</t>
  </si>
  <si>
    <t>Hari Deepavali</t>
  </si>
  <si>
    <t>Cuti Hari Deepavali</t>
  </si>
  <si>
    <t>Hari Keputeraan Sultan Selangor</t>
  </si>
  <si>
    <t>Hari Krismas</t>
  </si>
  <si>
    <t>FMA Days</t>
  </si>
  <si>
    <t>FMA Hours</t>
  </si>
  <si>
    <t>BONUS SETTINGS</t>
  </si>
  <si>
    <t>Unit/Options</t>
  </si>
  <si>
    <t>Bonus Pool (RM)</t>
  </si>
  <si>
    <t>RM</t>
  </si>
  <si>
    <t>Total bonus untuk staff ini (atau pool jika master)</t>
  </si>
  <si>
    <t>Bonus Method</t>
  </si>
  <si>
    <t>Days / Hours</t>
  </si>
  <si>
    <t>Pilih satu untuk kira eligibility/ratio</t>
  </si>
  <si>
    <t>Min Months Eligible</t>
  </si>
  <si>
    <t>Months</t>
  </si>
  <si>
    <t>Contoh: 3</t>
  </si>
  <si>
    <t>Min Days Eligible</t>
  </si>
  <si>
    <t>Contoh: 60 (jika guna Days)</t>
  </si>
  <si>
    <t>Min Hours Eligible</t>
  </si>
  <si>
    <t>Contoh: 480 (jika guna Hours)</t>
  </si>
  <si>
    <t>Use Eligible Required Target</t>
  </si>
  <si>
    <t>If Yes: kira ratio ikut Months Worked x FMA</t>
  </si>
  <si>
    <t>FMA Days (per month)</t>
  </si>
  <si>
    <t>Boleh link dari companysettings (FMA Days)</t>
  </si>
  <si>
    <t>FMA Hours (per month)</t>
  </si>
  <si>
    <t>Boleh link dari companysettings (FMA Hours)</t>
  </si>
  <si>
    <t>ANNUAL SUMMARY</t>
  </si>
  <si>
    <t>Unit</t>
  </si>
  <si>
    <t>Total Days Year</t>
  </si>
  <si>
    <t>Jumlah Days (Jan-Dec)</t>
  </si>
  <si>
    <t>Total Hours Year</t>
  </si>
  <si>
    <t>Jumlah Hours (Jan-Dec)</t>
  </si>
  <si>
    <t>Months Worked</t>
  </si>
  <si>
    <t>Kira bulan yang ada work (Hours&gt;0)</t>
  </si>
  <si>
    <t>Eligible Required Days</t>
  </si>
  <si>
    <t>Months Worked x FMA Days</t>
  </si>
  <si>
    <t>Eligible Required Hours</t>
  </si>
  <si>
    <t>Months Worked x FMA Hours</t>
  </si>
  <si>
    <t>Attendance Ratio (Days)</t>
  </si>
  <si>
    <t>Ratio</t>
  </si>
  <si>
    <t>Total Days / Eligible Required Days</t>
  </si>
  <si>
    <t>Attendance Ratio (Hours)</t>
  </si>
  <si>
    <t>Total Hours / Eligible Required Hours</t>
  </si>
  <si>
    <t>Bonus Eligible?</t>
  </si>
  <si>
    <t>0/1</t>
  </si>
  <si>
    <t>1 = layak, 0 = tak layak</t>
  </si>
  <si>
    <t>Bonus Amount (RM)</t>
  </si>
  <si>
    <t>Bonus akhir (ikut rule)</t>
  </si>
  <si>
    <t>MONTHLY TOTALS</t>
  </si>
  <si>
    <t>Worked?</t>
  </si>
  <si>
    <t xml:space="preserve"> </t>
  </si>
  <si>
    <t>Days @ Base Rate</t>
  </si>
  <si>
    <t>BR</t>
  </si>
  <si>
    <t>Hours @ Base Rate</t>
  </si>
  <si>
    <t>Hours @ Secondary Rate</t>
  </si>
  <si>
    <t>Days @ Secondary Rate</t>
  </si>
  <si>
    <t>SR</t>
  </si>
  <si>
    <t>EPF Apply</t>
  </si>
  <si>
    <t>SOSCO Apply</t>
  </si>
  <si>
    <t>YesNo</t>
  </si>
  <si>
    <t>EpfAge</t>
  </si>
  <si>
    <t>Override per staff (blank = table/company)</t>
  </si>
  <si>
    <t>Percent</t>
  </si>
  <si>
    <t>SOCSO Apply</t>
  </si>
  <si>
    <t>SocsoCat</t>
  </si>
  <si>
    <t>PCB/MTD Apply</t>
  </si>
  <si>
    <t>Monthly Tax Deduction (PCB/MTD) apply?</t>
  </si>
  <si>
    <t>Optional (staff LHDN number)</t>
  </si>
  <si>
    <t>Text</t>
  </si>
  <si>
    <t>Zakat Apply</t>
  </si>
  <si>
    <t>Optional (RM per month)</t>
  </si>
  <si>
    <t>Amount</t>
  </si>
  <si>
    <t>Other Deduction 1 Name</t>
  </si>
  <si>
    <t>Optional label (e.g. Union Fee)</t>
  </si>
  <si>
    <t>Other Deduction 1 Amount</t>
  </si>
  <si>
    <t>Other Deduction 2 Name</t>
  </si>
  <si>
    <t>Optional label</t>
  </si>
  <si>
    <t>Other Deduction 2 Amount</t>
  </si>
  <si>
    <t>Other Deduction 3 Name</t>
  </si>
  <si>
    <t>Other Deduction 3 Amount</t>
  </si>
  <si>
    <t>HRDF/HRD Corp Apply</t>
  </si>
  <si>
    <t>Employer-side levy only (optional reference)</t>
  </si>
  <si>
    <t>HRDF Rate %</t>
  </si>
  <si>
    <t>Optional (company-level usually)</t>
  </si>
  <si>
    <t>Employer Organization/Agency Ref</t>
  </si>
  <si>
    <t>Optional reference / registration id</t>
  </si>
  <si>
    <t>Statutory Notes</t>
  </si>
  <si>
    <t>Optional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</si>
</sst>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4409]dddd\,\ d\ mmmm\,\ yyyy;@"/>
    <numFmt numFmtId="165" formatCode="[$-F800]dddd\,\ mmmm\ dd\,\ yyyy"/>
    <numFmt numFmtId="166" formatCode="[$-14409]h:mm;@"/>
    <numFmt numFmtId="167" formatCode="#,##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6">
    <xf numFmtId="0" fontId="0" fillId="0" borderId="0" xfId="0"/>
    <xf numFmtId="0" fontId="2" fillId="0" borderId="0" xfId="0" applyFont="1"/>
    <xf numFmtId="0" fontId="2" fillId="3" borderId="0" xfId="0" applyFont="1" applyFill="1"/>
    <xf numFmtId="0" fontId="4" fillId="0" borderId="0" xfId="0" applyFont="1"/>
    <xf numFmtId="0" fontId="4" fillId="3" borderId="0" xfId="0" applyFont="1" applyFill="1"/>
    <xf numFmtId="0" fontId="5" fillId="0" borderId="0" xfId="0" applyFont="1"/>
    <xf numFmtId="0" fontId="4" fillId="0" borderId="0" xfId="0" applyFont="1" applyAlignment="1">
      <alignment horizontal="center"/>
    </xf>
    <xf numFmtId="164" fontId="2" fillId="0" borderId="0" xfId="0" applyNumberFormat="1" applyFont="1"/>
    <xf numFmtId="20" fontId="0" fillId="0" borderId="0" xfId="0" applyNumberFormat="1"/>
    <xf numFmtId="14" fontId="0" fillId="0" borderId="0" xfId="0" applyNumberFormat="1"/>
    <xf numFmtId="164" fontId="2" fillId="4" borderId="1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4" xfId="0" applyFont="1" applyBorder="1"/>
    <xf numFmtId="0" fontId="2" fillId="0" borderId="3" xfId="0" applyFont="1" applyBorder="1"/>
    <xf numFmtId="0" fontId="2" fillId="0" borderId="2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Alignment="1">
      <alignment horizontal="center" vertical="center"/>
    </xf>
    <xf numFmtId="0" fontId="4" fillId="0" borderId="2" xfId="0" applyFont="1" applyBorder="1"/>
    <xf numFmtId="0" fontId="2" fillId="2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4" fontId="2" fillId="0" borderId="0" xfId="0" applyNumberFormat="1" applyFont="1"/>
    <xf numFmtId="0" fontId="0" fillId="0" borderId="1" xfId="0" applyBorder="1"/>
    <xf numFmtId="0" fontId="0" fillId="4" borderId="1" xfId="0" applyFill="1" applyBorder="1"/>
    <xf numFmtId="20" fontId="0" fillId="4" borderId="1" xfId="0" applyNumberFormat="1" applyFill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8" fillId="0" borderId="3" xfId="1" applyBorder="1"/>
    <xf numFmtId="0" fontId="8" fillId="0" borderId="2" xfId="1" applyBorder="1"/>
    <xf numFmtId="0" fontId="8" fillId="0" borderId="6" xfId="1" applyBorder="1"/>
    <xf numFmtId="0" fontId="0" fillId="2" borderId="0" xfId="0" applyFill="1"/>
    <xf numFmtId="0" fontId="8" fillId="0" borderId="0" xfId="1" applyBorder="1"/>
    <xf numFmtId="0" fontId="4" fillId="0" borderId="0" xfId="0" applyFont="1" applyAlignment="1">
      <alignment horizontal="center" vertical="center"/>
    </xf>
    <xf numFmtId="0" fontId="4" fillId="0" borderId="4" xfId="0" applyFont="1" applyBorder="1"/>
    <xf numFmtId="0" fontId="4" fillId="0" borderId="7" xfId="0" applyFont="1" applyBorder="1"/>
    <xf numFmtId="0" fontId="2" fillId="0" borderId="6" xfId="0" applyFont="1" applyBorder="1" applyAlignment="1">
      <alignment horizontal="right"/>
    </xf>
    <xf numFmtId="0" fontId="0" fillId="4" borderId="1" xfId="0" applyFill="1" applyBorder="1" applyAlignment="1">
      <alignment horizontal="left"/>
    </xf>
    <xf numFmtId="49" fontId="0" fillId="4" borderId="1" xfId="0" applyNumberFormat="1" applyFill="1" applyBorder="1"/>
    <xf numFmtId="20" fontId="2" fillId="0" borderId="1" xfId="0" applyNumberFormat="1" applyFont="1" applyBorder="1" applyAlignment="1">
      <alignment horizontal="center" vertical="center"/>
    </xf>
    <xf numFmtId="20" fontId="2" fillId="4" borderId="1" xfId="0" applyNumberFormat="1" applyFont="1" applyFill="1" applyBorder="1" applyAlignment="1">
      <alignment horizontal="center" vertical="center"/>
    </xf>
    <xf numFmtId="4" fontId="2" fillId="4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2" fillId="0" borderId="1" xfId="0" applyFont="1" applyBorder="1"/>
    <xf numFmtId="0" fontId="0" fillId="0" borderId="0" xfId="0" applyAlignment="1">
      <alignment horizontal="center"/>
    </xf>
    <xf numFmtId="0" fontId="1" fillId="0" borderId="5" xfId="1" applyFont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1" fillId="0" borderId="4" xfId="1" applyFont="1" applyBorder="1"/>
    <xf numFmtId="0" fontId="4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0" fontId="1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0" xfId="0" applyFill="1"/>
    <xf numFmtId="165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right"/>
    </xf>
    <xf numFmtId="49" fontId="9" fillId="0" borderId="0" xfId="1" applyNumberFormat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8" fillId="0" borderId="0" xfId="1" applyFill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20" fontId="0" fillId="7" borderId="1" xfId="0" applyNumberFormat="1" applyFill="1" applyBorder="1"/>
    <xf numFmtId="0" fontId="0" fillId="7" borderId="1" xfId="0" applyFill="1" applyBorder="1" applyAlignment="1">
      <alignment horizontal="center" vertical="center"/>
    </xf>
    <xf numFmtId="4" fontId="2" fillId="0" borderId="0" xfId="0" applyNumberFormat="1" applyFont="1" applyAlignment="1">
      <alignment horizontal="center"/>
    </xf>
    <xf numFmtId="4" fontId="0" fillId="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right"/>
    </xf>
    <xf numFmtId="166" fontId="0" fillId="7" borderId="1" xfId="0" applyNumberFormat="1" applyFill="1" applyBorder="1"/>
    <xf numFmtId="4" fontId="0" fillId="2" borderId="1" xfId="0" applyNumberFormat="1" applyFill="1" applyBorder="1" applyAlignment="1">
      <alignment horizontal="center" vertical="center"/>
    </xf>
    <xf numFmtId="20" fontId="0" fillId="0" borderId="1" xfId="0" applyNumberFormat="1" applyBorder="1"/>
    <xf numFmtId="0" fontId="0" fillId="0" borderId="1" xfId="0" applyBorder="1" applyAlignment="1">
      <alignment horizontal="left"/>
    </xf>
    <xf numFmtId="20" fontId="0" fillId="0" borderId="1" xfId="0" applyNumberFormat="1" applyBorder="1" applyAlignment="1">
      <alignment horizontal="left"/>
    </xf>
    <xf numFmtId="166" fontId="2" fillId="0" borderId="0" xfId="0" applyNumberFormat="1" applyFont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center"/>
    </xf>
    <xf numFmtId="4" fontId="2" fillId="8" borderId="1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5" xfId="0" applyFont="1" applyBorder="1" applyAlignment="1">
      <alignment horizontal="right"/>
    </xf>
    <xf numFmtId="4" fontId="2" fillId="0" borderId="3" xfId="0" applyNumberFormat="1" applyFont="1" applyBorder="1" applyAlignment="1">
      <alignment horizontal="right"/>
    </xf>
    <xf numFmtId="4" fontId="4" fillId="0" borderId="0" xfId="0" applyNumberFormat="1" applyFont="1" applyAlignment="1">
      <alignment horizontal="right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67" fontId="2" fillId="0" borderId="0" xfId="0" applyNumberFormat="1" applyFont="1" applyAlignment="1">
      <alignment horizontal="center" vertical="center"/>
    </xf>
    <xf numFmtId="4" fontId="4" fillId="5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right"/>
    </xf>
    <xf numFmtId="20" fontId="2" fillId="0" borderId="0" xfId="0" applyNumberFormat="1" applyFont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0" fontId="4" fillId="2" borderId="2" xfId="0" applyFont="1" applyFill="1" applyBorder="1"/>
    <xf numFmtId="0" fontId="13" fillId="0" borderId="0" xfId="1" applyFont="1" applyBorder="1"/>
    <xf numFmtId="49" fontId="13" fillId="0" borderId="0" xfId="1" applyNumberFormat="1" applyFont="1" applyBorder="1"/>
    <xf numFmtId="49" fontId="12" fillId="0" borderId="0" xfId="0" applyNumberFormat="1" applyFont="1"/>
    <xf numFmtId="49" fontId="13" fillId="0" borderId="0" xfId="1" applyNumberFormat="1" applyFont="1" applyFill="1" applyBorder="1"/>
    <xf numFmtId="0" fontId="2" fillId="0" borderId="0" xfId="0" applyFont="1" applyAlignment="1">
      <alignment horizontal="left"/>
    </xf>
    <xf numFmtId="0" fontId="0" fillId="0" borderId="0" xfId="1" applyFont="1" applyBorder="1" applyAlignment="1">
      <alignment horizontal="center"/>
    </xf>
    <xf numFmtId="0" fontId="0" fillId="0" borderId="0" xfId="1" applyFont="1" applyBorder="1"/>
    <xf numFmtId="2" fontId="2" fillId="0" borderId="2" xfId="0" applyNumberFormat="1" applyFont="1" applyBorder="1" applyAlignment="1">
      <alignment horizontal="center" vertical="top" wrapText="1"/>
    </xf>
    <xf numFmtId="2" fontId="2" fillId="0" borderId="0" xfId="0" applyNumberFormat="1" applyFont="1" applyAlignment="1">
      <alignment horizontal="center" vertical="top" wrapText="1"/>
    </xf>
    <xf numFmtId="2" fontId="2" fillId="0" borderId="6" xfId="0" applyNumberFormat="1" applyFont="1" applyBorder="1" applyAlignment="1">
      <alignment horizontal="center" vertical="top" wrapText="1"/>
    </xf>
    <xf numFmtId="2" fontId="2" fillId="0" borderId="7" xfId="0" applyNumberFormat="1" applyFont="1" applyBorder="1" applyAlignment="1">
      <alignment horizontal="center" vertical="top" wrapText="1"/>
    </xf>
    <xf numFmtId="2" fontId="2" fillId="0" borderId="8" xfId="0" applyNumberFormat="1" applyFont="1" applyBorder="1" applyAlignment="1">
      <alignment horizontal="center" vertical="top" wrapText="1"/>
    </xf>
    <xf numFmtId="2" fontId="2" fillId="0" borderId="9" xfId="0" applyNumberFormat="1" applyFont="1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24"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FF00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Medium9"/>
  <colors>
    <mruColors>
      <color rgb="FFF2F2F2"/>
      <color rgb="FF00FF00"/>
      <color rgb="FFFFC7CE"/>
      <color rgb="FFFCE4D6"/>
      <color rgb="FFDA96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06/relationships/rdRichValue" Target="richData/rdrichvalue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1524000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1CF99E6-99C1-4F22-B4B7-7DF8B60CD34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492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CAD50EBE-7F33-4BE1-BE69-9EB73F749A5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481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57351FCB-9A63-46F4-925D-119115BD15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471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41E9A2E-80AD-445B-9F2B-25C5CD9E62D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329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B00D2D0-2927-440D-925A-8F1957D8D07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338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71B76EE-6C66-4109-B2F1-DBE1B64C4BF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461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70100" y="190500"/>
              <a:ext cx="812800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C170AEF7-FAA8-41FF-BF89-04F4F53DEC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502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6EB330A-3E1D-4EA5-9389-B591AB74F88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532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072FF9-EDD1-468E-8F0D-06D7C37451F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522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7C3DF485-63B9-4825-AC92-36CBBF8911D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512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4188C98-0443-41C9-9249-C978E6373F8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54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</xdr:row>
          <xdr:rowOff>0</xdr:rowOff>
        </xdr:from>
        <xdr:to>
          <xdr:col>24</xdr:col>
          <xdr:colOff>1651000</xdr:colOff>
          <xdr:row>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89FECEC-4E2A-425A-8AF8-026D6ADA474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mpanysettings!$BB$2:$BG$4" spid="_x0000_s45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732000" y="190500"/>
              <a:ext cx="8121650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200026</xdr:colOff>
      <xdr:row>1</xdr:row>
      <xdr:rowOff>38100</xdr:rowOff>
    </xdr:from>
    <xdr:to>
      <xdr:col>56</xdr:col>
      <xdr:colOff>2320925</xdr:colOff>
      <xdr:row>3</xdr:row>
      <xdr:rowOff>164921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56711D-9516-086D-87D7-404A675E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00026" y="228600"/>
          <a:ext cx="2120899" cy="507821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0EE08-625F-4F0E-BECA-FC23059A5929}">
  <sheetPr codeName="Sheet19"/>
  <dimension ref="A1:Y50"/>
  <sheetViews>
    <sheetView tabSelected="1" zoomScale="75" zoomScaleNormal="75" workbookViewId="0">
      <selection activeCell="Q21" sqref="Q21"/>
    </sheetView>
  </sheetViews>
  <sheetFormatPr defaultRowHeight="15" x14ac:dyDescent="0.25"/>
  <cols>
    <col min="1" max="1" width="31.7109375" style="1" bestFit="1" customWidth="1"/>
    <col min="2" max="2" width="6.42578125" style="17" customWidth="1"/>
    <col min="3" max="3" width="8.140625" style="17" bestFit="1" customWidth="1"/>
    <col min="4" max="4" width="7.5703125" style="17" bestFit="1" customWidth="1"/>
    <col min="5" max="5" width="8.140625" style="17" bestFit="1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3.5703125" style="1" bestFit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140625" style="1" bestFit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JANUARY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44561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0.77083333333333337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0.77083333333333337</v>
      </c>
      <c r="H3" s="40"/>
      <c r="I3" s="40">
        <v>0.97916666666666663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4.4999999999999982</v>
      </c>
      <c r="K3" s="19" t="s">
        <v>314</v>
      </c>
      <c r="L3" s="19" t="s">
        <v>313</v>
      </c>
      <c r="M3" s="19" t="s">
        <v>449</v>
      </c>
      <c r="N3" s="100"/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44562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0.77083333333333337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4" s="41">
        <f t="shared" ref="G4:G33" ca="1" si="0">IF($A4="","",IF($H4&lt;&gt;"",$H4,IF($E4&lt;&gt;"",$E4,"")))</f>
        <v>0.77083333333333337</v>
      </c>
      <c r="H4" s="40"/>
      <c r="I4" s="40"/>
      <c r="J4" s="42" t="str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4" s="19" t="s">
        <v>314</v>
      </c>
      <c r="L4" s="19" t="s">
        <v>341</v>
      </c>
      <c r="M4" s="19" t="s">
        <v>449</v>
      </c>
      <c r="N4" s="100"/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44563</v>
      </c>
      <c r="B5" s="40"/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/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5" s="41" t="str">
        <f t="shared" ca="1" si="0"/>
        <v/>
      </c>
      <c r="H5" s="40"/>
      <c r="I5" s="40"/>
      <c r="J5" s="42" t="str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5" s="19" t="s">
        <v>314</v>
      </c>
      <c r="L5" s="19" t="s">
        <v>316</v>
      </c>
      <c r="M5" s="19" t="s">
        <v>445</v>
      </c>
      <c r="N5" s="100"/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44564</v>
      </c>
      <c r="B6" s="40"/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/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6" s="41" t="str">
        <f t="shared" ca="1" si="0"/>
        <v/>
      </c>
      <c r="H6" s="40"/>
      <c r="I6" s="40"/>
      <c r="J6" s="42" t="str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6" s="19" t="s">
        <v>314</v>
      </c>
      <c r="L6" s="19" t="s">
        <v>306</v>
      </c>
      <c r="M6" s="19" t="s">
        <v>445</v>
      </c>
      <c r="N6" s="100"/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44565</v>
      </c>
      <c r="B7" s="40">
        <f t="shared" ref="B7:B18" si="1">$B$3</f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ref="E7:E32" si="2">$E$3</f>
        <v>0.77083333333333337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7" s="41">
        <f t="shared" ca="1" si="0"/>
        <v>0.77083333333333337</v>
      </c>
      <c r="H7" s="40"/>
      <c r="I7" s="40">
        <v>0.97916666666666663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4.4999999999999982</v>
      </c>
      <c r="K7" s="19" t="s">
        <v>314</v>
      </c>
      <c r="L7" s="19" t="s">
        <v>314</v>
      </c>
      <c r="M7" s="19" t="s">
        <v>445</v>
      </c>
      <c r="N7" s="100"/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44566</v>
      </c>
      <c r="B8" s="40">
        <f t="shared" si="1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2"/>
        <v>0.77083333333333337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8" s="41">
        <f t="shared" ca="1" si="0"/>
        <v>0.77083333333333337</v>
      </c>
      <c r="H8" s="40"/>
      <c r="I8" s="40"/>
      <c r="J8" s="42" t="str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8" s="19" t="s">
        <v>314</v>
      </c>
      <c r="L8" s="19" t="s">
        <v>313</v>
      </c>
      <c r="M8" s="19" t="s">
        <v>445</v>
      </c>
      <c r="N8" s="100"/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44567</v>
      </c>
      <c r="B9" s="40">
        <f t="shared" si="1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2"/>
        <v>0.77083333333333337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9" s="41">
        <f t="shared" ca="1" si="0"/>
        <v>0.77083333333333337</v>
      </c>
      <c r="H9" s="40"/>
      <c r="I9" s="40"/>
      <c r="J9" s="42" t="str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9" s="19" t="s">
        <v>314</v>
      </c>
      <c r="L9" s="19" t="s">
        <v>316</v>
      </c>
      <c r="M9" s="19" t="s">
        <v>445</v>
      </c>
      <c r="N9" s="100"/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44568</v>
      </c>
      <c r="B10" s="40">
        <f t="shared" si="1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2"/>
        <v>0.77083333333333337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0" s="41">
        <f t="shared" ca="1" si="0"/>
        <v>0.77083333333333337</v>
      </c>
      <c r="H10" s="40"/>
      <c r="I10" s="40"/>
      <c r="J10" s="42" t="str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0" s="19" t="s">
        <v>314</v>
      </c>
      <c r="L10" s="19" t="s">
        <v>316</v>
      </c>
      <c r="M10" s="19" t="s">
        <v>445</v>
      </c>
      <c r="N10" s="100"/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44569</v>
      </c>
      <c r="B11" s="40">
        <f t="shared" si="1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2"/>
        <v>0.77083333333333337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1" s="41">
        <f t="shared" ca="1" si="0"/>
        <v>0.77083333333333337</v>
      </c>
      <c r="H11" s="40"/>
      <c r="I11" s="40"/>
      <c r="J11" s="42" t="str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1" s="19" t="s">
        <v>314</v>
      </c>
      <c r="L11" s="19" t="s">
        <v>316</v>
      </c>
      <c r="M11" s="19" t="s">
        <v>445</v>
      </c>
      <c r="N11" s="100"/>
      <c r="O11" s="23"/>
      <c r="P11" s="79"/>
      <c r="Q11" s="80"/>
      <c r="R11" s="79"/>
      <c r="T11" s="14" t="str" cm="1">
        <f t="array" ref="T11:T14">IF(COUNTA($M$3:$M$33)=0,"",
 _xlfn._xlws.FILTER(
  staffsettings!$S$2:$S$20,
  COUNTIF($M$3:$M$33, staffsettings!$T$2:$T$20)&gt;0
 )
)</f>
        <v>Days @ Base Rate</v>
      </c>
      <c r="U11" s="22" cm="1">
        <f t="array" aca="1" ref="U11" ca="1">_xlfn.LET(
 _xlpm.d,$A$3:$A$33,
 _xlpm.att,$K$3:$K$33,
 _xlpm.ps,$M$3:$M$33,
 _xlpm.isWD,(_xlpm.d&lt;&gt;"")*(WEEKDAY(_xlpm.d,2)&lt;=5),
 _xlpm.dayUnit,IF(_xlpm.att="HD",0.5,
          IF((_xlpm.att="FD")+(_xlpm.att="AL")+(_xlpm.att="SL"),1,
             IF(_xlpm.att="PR",--(($B$3:$B$33&lt;&gt;"")*($E$3:$E$33&lt;&gt;"")),0)
          )
        ),
 SUMPRODUCT(_xlpm.isWD*(_xlpm.ps="BR")*_xlpm.dayUnit)
)</f>
        <v>20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44570</v>
      </c>
      <c r="B12" s="40"/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/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2" s="41" t="str">
        <f t="shared" ca="1" si="0"/>
        <v/>
      </c>
      <c r="H12" s="40"/>
      <c r="I12" s="40"/>
      <c r="J12" s="42" t="str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2" s="19" t="s">
        <v>314</v>
      </c>
      <c r="L12" s="19" t="s">
        <v>316</v>
      </c>
      <c r="M12" s="19" t="s">
        <v>445</v>
      </c>
      <c r="N12" s="100"/>
      <c r="O12" s="85"/>
      <c r="P12" s="79"/>
      <c r="Q12" s="80"/>
      <c r="R12" s="79"/>
      <c r="T12" s="14" t="str">
        <v>Hours @ Base Rate</v>
      </c>
      <c r="U12" s="22" cm="1">
        <f t="array" aca="1" ref="U12" ca="1">_xlfn.LET(
 _xlpm.hpd,IF(ISTEXT(staffsettings!$V$2),IFERROR(TIMEVALUE(staffsettings!$V$2)*24,0),IF(staffsettings!$V$2&lt;1,staffsettings!$V$2*24,staffsettings!$V$2)),
 _xlpm.d,$A$3:$A$33,
 _xlpm.att,$K$3:$K$33,
 _xlpm.ps,$M$3:$M$33,
 _xlpm.isWD,(_xlpm.d&lt;&gt;"")*(WEEKDAY(_xlpm.d,2)&lt;=5),
 _xlpm.prH,MAX(0,($E$3:$E$33-$B$3:$B$33)-
        IF(($C$3:$C$33&lt;&gt;"")*($D$3:$D$33&lt;&gt;"")*($E$3:$E$33&gt;$C$3:$C$33),
           MAX(0,MIN($E$3:$E$33,$D$3:$D$33)-MAX($B$3:$B$33,$C$3:$C$33)),0)
       )*24,
 _xlpm.hUnit,IF(_xlpm.att="HD",_xlpm.hpd/2,
        IF((_xlpm.att="FD")+(_xlpm.att="AL")+(_xlpm.att="SL"),_xlpm.hpd,
           IF(_xlpm.att="PR",_xlpm.prH,0)
        )
       ),
 ROUND(SUMPRODUCT(_xlpm.isWD*(_xlpm.ps="BR")*_xlpm.hUnit),2)
)</f>
        <v>190</v>
      </c>
      <c r="V12" s="64">
        <f ca="1">IF(U12="","",U12*$D$40)</f>
        <v>1600</v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44571</v>
      </c>
      <c r="B13" s="40"/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/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3" s="41" t="str">
        <f t="shared" ca="1" si="0"/>
        <v/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445</v>
      </c>
      <c r="N13" s="100"/>
      <c r="O13" s="85"/>
      <c r="P13" s="79"/>
      <c r="Q13" s="80"/>
      <c r="R13" s="79"/>
      <c r="T13" s="14" t="str">
        <v>Days @ Secondary Rate</v>
      </c>
      <c r="U13" s="22" cm="1">
        <f t="array" aca="1" ref="U13" ca="1">IF(T13="","",
 _xlfn.LET(
  _xlpm.h,
   IF(ISTEXT(staffsettings!$V$2),
      IFERROR(TIMEVALUE(staffsettings!$V$2)*24,0),
      IF(staffsettings!$V$2&lt;1,staffsettings!$V$2*24,staffsettings!$V$2)
   ),
  _xlpm.att,$K$3:$K$33,
  _xlpm.ps,$M$3:$M$33,
  _xlpm.b,$B$3:$B$33,
  _xlpm.c,$C$3:$C$33,
  _xlpm.d,$D$3:$D$33,
  _xlpm.e,$E$3:$E$33,
  _xlpm.workRaw,
   MAX(0,
     (_xlpm.e-_xlpm.b)-
     IF(
       (_xlpm.c&lt;&gt;"")*(_xlpm.d&lt;&gt;"")*(_xlpm.e&gt;_xlpm.c),
       MAX(0,MIN(_xlpm.e,_xlpm.d)-MAX(_xlpm.b,_xlpm.c)),
       0
     )
   ),
  _xlpm.prH, _xlpm.workRaw*24,
  _xlpm.workH,
   IF(_xlpm.att="FD",_xlpm.h,
    IF(_xlpm.att="HD",_xlpm.h/2,
     IF((_xlpm.att="AL")+(_xlpm.att="SL"),_xlpm.h,
      IF(_xlpm.att="PR",_xlpm.prH,0)
     )
    )
   ),
  _xlpm.dayEq, IF(_xlpm.h&lt;=0,0, MIN(1, _xlpm.workH/_xlpm.h)),
  _xlpm.dayFactor,
   IF(_xlpm.att="HD",0.5,
    IF((_xlpm.att="FD")+(_xlpm.att="AL")+(_xlpm.att="SL"),1,
     IF(_xlpm.att="PR",_xlpm.dayEq,0)
    )
   ),
  _xlpm.brDays,  ROUND(SUMPRODUCT((_xlpm.ps="BR")*_xlpm.dayFactor),2),
  _xlpm.brHours, ROUND(SUMPRODUCT((_xlpm.ps="BR")*_xlpm.workH),2),
  _xlpm.srDays,  ROUND(SUMPRODUCT((_xlpm.ps="SR")*_xlpm.dayFactor),2),
  _xlpm.srHours, ROUND(SUMPRODUCT((_xlpm.ps="SR")*_xlpm.workH),2),
  _xlpm.label,T13,
  _xlpm.val,
   IF(_xlpm.label="Days @ Base Rate",_xlpm.brDays,
    IF(_xlpm.label="Hours @ Base Rate",_xlpm.brHours,
     IF(_xlpm.label="Days @ Secondary Rate",_xlpm.srDays,
      IF(_xlpm.label="Hours @ Secondary Rate",_xlpm.srHours,"")
     )
    )
   ),
  IF(OR(_xlpm.val="",_xlpm.val=0),"",_xlpm.val)
 )
)</f>
        <v>2</v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44572</v>
      </c>
      <c r="B14" s="40">
        <f t="shared" si="1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2"/>
        <v>0.77083333333333337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4" s="41">
        <f t="shared" ca="1" si="0"/>
        <v>0.77083333333333337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445</v>
      </c>
      <c r="N14" s="100"/>
      <c r="O14" s="86"/>
      <c r="P14" s="79"/>
      <c r="Q14" s="80"/>
      <c r="R14" s="79"/>
      <c r="T14" s="14" t="str">
        <v>Hours @ Secondary Rate</v>
      </c>
      <c r="U14" s="22" cm="1">
        <f t="array" aca="1" ref="U14" ca="1">IF(T14="","",
 _xlfn.LET(
  _xlpm.h,
   IF(ISTEXT(staffsettings!$V$2),
      IFERROR(TIMEVALUE(staffsettings!$V$2)*24,0),
      IF(staffsettings!$V$2&lt;1,staffsettings!$V$2*24,staffsettings!$V$2)
   ),
  _xlpm.att,$K$3:$K$33,
  _xlpm.ps,$M$3:$M$33,
  _xlpm.b,$B$3:$B$33,
  _xlpm.c,$C$3:$C$33,
  _xlpm.d,$D$3:$D$33,
  _xlpm.e,$E$3:$E$33,
  _xlpm.workRaw,
   MAX(0,
     (_xlpm.e-_xlpm.b)-
     IF(
       (_xlpm.c&lt;&gt;"")*(_xlpm.d&lt;&gt;"")*(_xlpm.e&gt;_xlpm.c),
       MAX(0,MIN(_xlpm.e,_xlpm.d)-MAX(_xlpm.b,_xlpm.c)),
       0
     )
   ),
  _xlpm.prH, _xlpm.workRaw*24,
  _xlpm.workH,
   IF(_xlpm.att="FD",_xlpm.h,
    IF(_xlpm.att="HD",_xlpm.h/2,
     IF((_xlpm.att="AL")+(_xlpm.att="SL"),_xlpm.h,
      IF(_xlpm.att="PR",_xlpm.prH,0)
     )
    )
   ),
  _xlpm.dayEq, IF(_xlpm.h&lt;=0,0, MIN(1, _xlpm.workH/_xlpm.h)),
  _xlpm.dayFactor,
   IF(_xlpm.att="HD",0.5,
    IF((_xlpm.att="FD")+(_xlpm.att="AL")+(_xlpm.att="SL"),1,
     IF(_xlpm.att="PR",_xlpm.dayEq,0)
    )
   ),
  _xlpm.brDays,  ROUND(SUMPRODUCT((_xlpm.ps="BR")*_xlpm.dayFactor),2),
  _xlpm.brHours, ROUND(SUMPRODUCT((_xlpm.ps="BR")*_xlpm.workH),2),
  _xlpm.srDays,  ROUND(SUMPRODUCT((_xlpm.ps="SR")*_xlpm.dayFactor),2),
  _xlpm.srHours, ROUND(SUMPRODUCT((_xlpm.ps="SR")*_xlpm.workH),2),
  _xlpm.label,T14,
  _xlpm.val,
   IF(_xlpm.label="Days @ Base Rate",_xlpm.brDays,
    IF(_xlpm.label="Hours @ Base Rate",_xlpm.brHours,
     IF(_xlpm.label="Days @ Secondary Rate",_xlpm.srDays,
      IF(_xlpm.label="Hours @ Secondary Rate",_xlpm.srHours,"")
     )
    )
   ),
  IF(OR(_xlpm.val="",_xlpm.val=0),"",_xlpm.val)
 )
)</f>
        <v>19</v>
      </c>
      <c r="V14" s="64">
        <f ca="1">IF(U14="","",U14*$D$44)</f>
        <v>140</v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44573</v>
      </c>
      <c r="B15" s="40">
        <f t="shared" si="1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2"/>
        <v>0.77083333333333337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5" s="41">
        <f t="shared" ca="1" si="0"/>
        <v>0.77083333333333337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445</v>
      </c>
      <c r="N15" s="100"/>
      <c r="O15" s="23"/>
      <c r="P15" s="79"/>
      <c r="Q15" s="80"/>
      <c r="R15" s="79"/>
      <c r="T15" s="18" t="s">
        <v>301</v>
      </c>
      <c r="U15" s="22" t="str" cm="1">
        <f t="array" ref="U15">IF(T16="","",
 _xlfn.LET(
  _xlpm.hpd,
   IF(ISTEXT(staffsettings!$V$2),
      IFERROR(TIMEVALUE(staffsettings!$V$2)*24,0),
      IF(staffsettings!$V$2&lt;1,staffsettings!$V$2*24,staffsettings!$V$2)
   ),
  _xlpm.brH,
   IF(_xlpm.hpd&lt;=0,"",
     ROUND(SUMPRODUCT(
       ($A$3:$A$33&lt;&gt;"")*($M$3:$M$33="BR")*
       MAX(0,
         ($E$3:$E$33-$B$3:$B$33)-
         IF(
           ($C$3:$C$33&lt;&gt;"")*($D$3:$D$33&lt;&gt;"")*($E$3:$E$33&gt;$C$3:$C$33),
           MAX(0,MIN($E$3:$E$33,$D$3:$D$33)-MAX($B$3:$B$33,$C$3:$C$33)),
           0
         )
       )
     )*24,2)
   ),
  _xlpm.srH,
   IF(_xlpm.hpd&lt;=0,"",
     ROUND(SUMPRODUCT(
       ($A$3:$A$33&lt;&gt;"")*($M$3:$M$33="SR")*
       MAX(0,
         ($E$3:$E$33-$B$3:$B$33)-
         IF(
           ($C$3:$C$33&lt;&gt;"")*($D$3:$D$33&lt;&gt;"")*($E$3:$E$33&gt;$C$3:$C$33),
           MAX(0,MIN($E$3:$E$33,$D$3:$D$33)-MAX($B$3:$B$33,$C$3:$C$33)),
           0
         )
       )
     )*24,2)
   ),
  _xlpm.code, T16,
  _xlpm.val,
   IF(_xlpm.code="BRH", _xlpm.brH,
    IF(_xlpm.code="BR", IF(OR(_xlpm.brH="",_xlpm.hpd&lt;=0),"",ROUND(_xlpm.brH/_xlpm.hpd,2)),
     IF(_xlpm.code="SRH", _xlpm.srH,
      IF(_xlpm.code="SR", IF(OR(_xlpm.srH="",_xlpm.hpd&lt;=0),"",ROUND(_xlpm.srH/_xlpm.hpd,2)),"")
     )
    )
   ),
  IF(OR(_xlpm.val="",_xlpm.val=0),"",_xlpm.val)
 )
)</f>
        <v/>
      </c>
      <c r="V15" s="93">
        <f ca="1">_xlfn.LET(
 _xlpm.h, SUMIF($T$11:$T$14,"*Hours*",$V$11:$V$14),
 IF(_xlpm.h=0,"",_xlpm.h)
)</f>
        <v>1740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44574</v>
      </c>
      <c r="B16" s="40">
        <f t="shared" si="1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2"/>
        <v>0.77083333333333337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6" s="41">
        <f t="shared" ca="1" si="0"/>
        <v>0.77083333333333337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445</v>
      </c>
      <c r="N16" s="100"/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44575</v>
      </c>
      <c r="B17" s="40">
        <f t="shared" si="1"/>
        <v>0.33333333333333331</v>
      </c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2"/>
        <v>0.77083333333333337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7" s="41">
        <f t="shared" ca="1" si="0"/>
        <v>0.77083333333333337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445</v>
      </c>
      <c r="N17" s="100"/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44576</v>
      </c>
      <c r="B18" s="40">
        <f t="shared" si="1"/>
        <v>0.33333333333333331</v>
      </c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2"/>
        <v>0.77083333333333337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8" s="41">
        <f t="shared" ca="1" si="0"/>
        <v>0.77083333333333337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445</v>
      </c>
      <c r="N18" s="100"/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0</v>
      </c>
      <c r="V18" s="64" cm="1">
        <f t="array" aca="1" ref="V18" ca="1">IF(T18="","",
 _xlfn.LET(
  _xlpm.nm,T18,
  _xlpm.code,INDEX(staffsettings!$AN$2:$AN$6,
             MATCH(_xlpm.nm,staffsettings!$AM$2:$AM$6,0)),
  _xlpm.hWD,IFERROR($D$40,0),
  _xlpm.hWDI,IFERROR($D$44,0),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0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44577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/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9" s="41" t="str">
        <f t="shared" ca="1" si="0"/>
        <v/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445</v>
      </c>
      <c r="N19" s="100"/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0</v>
      </c>
      <c r="V19" s="64" cm="1">
        <f t="array" aca="1" ref="V19" ca="1">IF(T19="","",
 _xlfn.LET(
  _xlpm.nm,T19,
  _xlpm.code,INDEX(staffsettings!$AN$2:$AN$6,
             MATCH(_xlpm.nm,staffsettings!$AM$2:$AM$6,0)),
  _xlpm.hWD,IFERROR($D$40,0),
  _xlpm.hWDI,IFERROR($D$44,0),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0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44578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/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0" s="41" t="str">
        <f t="shared" ca="1" si="0"/>
        <v/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445</v>
      </c>
      <c r="N20" s="100"/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0</v>
      </c>
      <c r="V20" s="64" cm="1">
        <f t="array" aca="1" ref="V20" ca="1">IF(T20="","",
 _xlfn.LET(
  _xlpm.nm,T20,
  _xlpm.code,INDEX(staffsettings!$AN$2:$AN$6,
             MATCH(_xlpm.nm,staffsettings!$AM$2:$AM$6,0)),
  _xlpm.hWD,IFERROR($D$40,0),
  _xlpm.hWDI,IFERROR($D$44,0),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0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44579</v>
      </c>
      <c r="B21" s="40">
        <f t="shared" ref="B21:B25" si="3">$B$3</f>
        <v>0.33333333333333331</v>
      </c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2"/>
        <v>0.77083333333333337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1" s="41">
        <f t="shared" ca="1" si="0"/>
        <v>0.77083333333333337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445</v>
      </c>
      <c r="N21" s="100"/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4.4999999999999982</v>
      </c>
      <c r="V21" s="64" cm="1">
        <f t="array" aca="1" ref="V21" ca="1">IF(T21="","",
 _xlfn.LET(
  _xlpm.nm,T21,
  _xlpm.code,INDEX(staffsettings!$AN$2:$AN$6,
             MATCH(_xlpm.nm,staffsettings!$AM$2:$AM$6,0)),
  _xlpm.hWD,IFERROR($D$40,0),
  _xlpm.hWDI,IFERROR($D$44,0),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113.68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44580</v>
      </c>
      <c r="B22" s="40">
        <f t="shared" si="3"/>
        <v>0.33333333333333331</v>
      </c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2"/>
        <v>0.77083333333333337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2" s="41">
        <f t="shared" ca="1" si="0"/>
        <v>0.77083333333333337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445</v>
      </c>
      <c r="N22" s="100"/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4.4999999999999982</v>
      </c>
      <c r="V22" s="64" cm="1">
        <f t="array" aca="1" ref="V22" ca="1">IF(T22="","",
 _xlfn.LET(
  _xlpm.nm,T22,
  _xlpm.code,INDEX(staffsettings!$AN$2:$AN$6,
             MATCH(_xlpm.nm,staffsettings!$AM$2:$AM$6,0)),
  _xlpm.hWD,IFERROR($D$40,0),
  _xlpm.hWDI,IFERROR($D$44,0),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151.58000000000001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44581</v>
      </c>
      <c r="B23" s="40">
        <f t="shared" si="3"/>
        <v>0.33333333333333331</v>
      </c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2"/>
        <v>0.77083333333333337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3" s="41">
        <f t="shared" ca="1" si="0"/>
        <v>0.77083333333333337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445</v>
      </c>
      <c r="N23" s="100"/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44582</v>
      </c>
      <c r="B24" s="40">
        <f t="shared" si="3"/>
        <v>0.33333333333333331</v>
      </c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2"/>
        <v>0.77083333333333337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4" s="41">
        <f t="shared" ca="1" si="0"/>
        <v>0.77083333333333337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445</v>
      </c>
      <c r="N24" s="100"/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44583</v>
      </c>
      <c r="B25" s="40">
        <f t="shared" si="3"/>
        <v>0.33333333333333331</v>
      </c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2"/>
        <v>0.77083333333333337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5" s="41">
        <f t="shared" ca="1" si="0"/>
        <v>0.77083333333333337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445</v>
      </c>
      <c r="N25" s="100"/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44584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/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6" s="41" t="str">
        <f t="shared" ca="1" si="0"/>
        <v/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445</v>
      </c>
      <c r="N26" s="100"/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44585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/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7" s="41" t="str">
        <f t="shared" ca="1" si="0"/>
        <v/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445</v>
      </c>
      <c r="N27" s="100"/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44586</v>
      </c>
      <c r="B28" s="40">
        <f t="shared" ref="B28:B32" si="4">$B$3</f>
        <v>0.33333333333333331</v>
      </c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2"/>
        <v>0.77083333333333337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8" s="41">
        <f t="shared" ca="1" si="0"/>
        <v>0.77083333333333337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445</v>
      </c>
      <c r="N28" s="100"/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44587</v>
      </c>
      <c r="B29" s="40">
        <f t="shared" si="4"/>
        <v>0.33333333333333331</v>
      </c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2"/>
        <v>0.77083333333333337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9" s="41">
        <f t="shared" ca="1" si="0"/>
        <v>0.77083333333333337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445</v>
      </c>
      <c r="N29" s="100"/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44588</v>
      </c>
      <c r="B30" s="40">
        <f t="shared" si="4"/>
        <v>0.33333333333333331</v>
      </c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2"/>
        <v>0.77083333333333337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0.77083333333333337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314</v>
      </c>
      <c r="L30" s="19" t="s">
        <v>316</v>
      </c>
      <c r="M30" s="19" t="s">
        <v>445</v>
      </c>
      <c r="N30" s="100"/>
      <c r="O30" s="23"/>
      <c r="P30" s="79"/>
      <c r="Q30" s="80"/>
      <c r="R30" s="79"/>
      <c r="T30" s="12"/>
      <c r="U30" s="13"/>
      <c r="V30" s="13" t="e">
        <f ca="1">_xlfn.LET(
 _xlpm.pay,$V$15,
 _xlpm.age,UPPER(TRIM(staffsettings!$F$2)),
 _xlpm.empPct,staffsettings!$F$3,
 _xlpm.usePct,AND(_xlpm.empPct&lt;&gt;"",_xlpm.empPct&gt;0),
 IF(_xlpm.pay&lt;=0,"",
   IF(_xlpm.usePct,
     ROUND(_xlpm.pay*_xlpm.empPct,2),
     IF(_xlpm.age="ABOVE 60",
       _xlfn.XLOOKUP(_xlpm.pay,kwsp!$G$2:$G$403,kwsp!$J$2:$J$403,,1),
       _xlfn.XLOOKUP(_xlpm.pay,kwsp!$A$2:$A$403,kwsp!$D$2:$D$403,,1)
     )
   )
 )
)</f>
        <v>#VALUE!</v>
      </c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44589</v>
      </c>
      <c r="B31" s="40">
        <f t="shared" si="4"/>
        <v>0.33333333333333331</v>
      </c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2"/>
        <v>0.77083333333333337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1" s="41">
        <f t="shared" ca="1" si="0"/>
        <v>0.77083333333333337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445</v>
      </c>
      <c r="N31" s="100"/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44590</v>
      </c>
      <c r="B32" s="40">
        <f t="shared" si="4"/>
        <v>0.33333333333333331</v>
      </c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2"/>
        <v>0.77083333333333337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2" s="41">
        <f t="shared" ca="1" si="0"/>
        <v>0.77083333333333337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445</v>
      </c>
      <c r="N32" s="100"/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44591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/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3" s="41" t="str">
        <f t="shared" ca="1" si="0"/>
        <v/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445</v>
      </c>
      <c r="N33" s="100"/>
      <c r="O33" s="23"/>
      <c r="P33" s="79"/>
      <c r="Q33" s="80"/>
      <c r="R33" s="79"/>
      <c r="T33" s="14"/>
      <c r="W33" s="18"/>
      <c r="Y33" s="27"/>
    </row>
    <row r="34" spans="1:25" x14ac:dyDescent="0.25">
      <c r="D34" s="101"/>
      <c r="F34" s="87"/>
      <c r="J34" s="68"/>
      <c r="K34" s="68"/>
      <c r="L34" s="68"/>
      <c r="M34" s="68"/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367</v>
      </c>
      <c r="D36" s="98" t="s">
        <v>365</v>
      </c>
      <c r="E36" s="98" t="s">
        <v>311</v>
      </c>
      <c r="G36" s="34"/>
      <c r="H36" s="34"/>
      <c r="I36" s="34"/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IF(C37="","",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MAX(0,C37-_xlpm.shortDays)
 )
)</f>
        <v>22</v>
      </c>
      <c r="C37" s="99" cm="1">
        <f t="array" aca="1" ref="C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22</v>
      </c>
      <c r="E37" s="64">
        <f ca="1">IFERROR(
  E38 /
  IF(ISTEXT(staffsettings!$V$2),
     IFERROR(TIMEVALUE(staffsettings!$V$2)*24,0),
     IF(staffsettings!$V$2&lt;1,staffsettings!$V$2*24,staffsettings!$V$2)
  ),
0)</f>
        <v>0.94736842105263119</v>
      </c>
      <c r="G37" s="75"/>
      <c r="H37" s="75"/>
      <c r="I37" s="75"/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t="str" cm="1">
        <f t="array" aca="1" ref="B38" ca="1">_xlfn.LET(
 _xlpm.rng,$F$3:$F$33,
 _xlpm.vals,IF(_xlpm.rng="","",IF(ISNUMBER(_xlpm.rng),_xlpm.rng,IFERROR(TIMEVALUE(_xlpm.rng),0))),
 _xlpm.totalH,SUM(_xlpm.vals)*24,
 IF(_xlpm.totalH=0,"",_xlpm.totalH)
)</f>
        <v/>
      </c>
      <c r="C38" s="99">
        <f ca="1">IF(C37="","",
 _xlfn.LET(
  _xlpm.h,IF(ISTEXT(staffsettings!$V$2),
        IFERROR(TIMEVALUE(staffsettings!$V$2)*24,0),
        IF(staffsettings!$V$2&lt;1,staffsettings!$V$2*24,staffsettings!$V$2)
     ),
  C37*_xlpm.h
 ))</f>
        <v>209</v>
      </c>
      <c r="E38" s="64">
        <f ca="1">IFERROR(SUM(J3:J33),0)</f>
        <v>8.9999999999999964</v>
      </c>
      <c r="G38" s="75"/>
      <c r="H38" s="75"/>
      <c r="I38" s="75"/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64">
        <f ca="1">IF($F$49&lt;=0,"",
  IF(N(staffsettings!$R$3)&gt;0, staffsettings!$R$3/$F$49,
     IF(N(staffsettings!$R$4)&gt;0, staffsettings!$R$4, "")
  )
)</f>
        <v>80</v>
      </c>
      <c r="E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G39" s="75"/>
      <c r="H39" s="75"/>
      <c r="I39" s="75"/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8.9999999999999964</v>
      </c>
    </row>
    <row r="40" spans="1:25" x14ac:dyDescent="0.25">
      <c r="A40" s="1" t="s">
        <v>187</v>
      </c>
      <c r="B40" s="97"/>
      <c r="C40" s="97"/>
      <c r="D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E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G40" s="75"/>
      <c r="H40" s="75"/>
      <c r="I40" s="75"/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89" cm="1">
        <f t="array" aca="1" ref="D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E41" s="64" cm="1">
        <f t="array" aca="1" ref="E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O41" s="45" t="str">
        <f>staffsettings!I10</f>
        <v>Sick Leave</v>
      </c>
      <c r="P41" s="48" t="str">
        <f>staffsettings!L10</f>
        <v>SL</v>
      </c>
      <c r="Q41" s="45"/>
      <c r="R41" s="19"/>
      <c r="T41" s="22">
        <f ca="1">U11</f>
        <v>20</v>
      </c>
      <c r="U41" s="22">
        <f ca="1">D39</f>
        <v>80</v>
      </c>
      <c r="V41" s="22"/>
    </row>
    <row r="42" spans="1:25" x14ac:dyDescent="0.25">
      <c r="A42" s="1" t="s">
        <v>333</v>
      </c>
      <c r="B42" s="97"/>
      <c r="C42" s="97"/>
      <c r="D42" s="88" cm="1">
        <f t="array" aca="1" ref="D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E42" s="64" cm="1">
        <f t="array" aca="1" ref="E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G42" s="75"/>
      <c r="H42" s="75"/>
      <c r="I42" s="75"/>
      <c r="O42"/>
      <c r="P42" s="46"/>
      <c r="R42" s="17"/>
      <c r="T42" s="22">
        <f t="shared" ref="T42:T44" ca="1" si="5">U12</f>
        <v>190</v>
      </c>
      <c r="U42" s="22">
        <f>D40</f>
        <v>8.4210526315789469</v>
      </c>
      <c r="V42" s="22">
        <f t="shared" ref="V42:V44" ca="1" si="6">T42*U42</f>
        <v>1600</v>
      </c>
    </row>
    <row r="43" spans="1:25" x14ac:dyDescent="0.25">
      <c r="A43" s="1" t="s">
        <v>325</v>
      </c>
      <c r="B43" s="97"/>
      <c r="C43" s="97"/>
      <c r="D43" s="64">
        <f>IFERROR(IF(N(staffsettings!$R$8)&gt;0,N(staffsettings!$R$8),""),"")</f>
        <v>70</v>
      </c>
      <c r="E43" s="64">
        <f>IFERROR(IF(N(staffsettings!$R$8)&gt;0,N(staffsettings!$R$8),""),"")</f>
        <v>70</v>
      </c>
      <c r="G43" s="75"/>
      <c r="H43" s="75"/>
      <c r="I43" s="75"/>
      <c r="O43" s="52" t="s">
        <v>324</v>
      </c>
      <c r="P43" s="51" t="str">
        <f>$L$2</f>
        <v>OT</v>
      </c>
      <c r="Q43" s="53"/>
      <c r="R43" s="61"/>
      <c r="T43" s="22">
        <f t="shared" ca="1" si="5"/>
        <v>2</v>
      </c>
      <c r="U43" s="22">
        <f>D43</f>
        <v>70</v>
      </c>
      <c r="V43" s="22"/>
    </row>
    <row r="44" spans="1:25" x14ac:dyDescent="0.25">
      <c r="A44" s="1" t="s">
        <v>326</v>
      </c>
      <c r="B44" s="97"/>
      <c r="C44" s="97"/>
      <c r="D44" s="64">
        <f>IFERROR(IF(N(staffsettings!$R$9)&gt;0,N(staffsettings!$R$9),""),"")</f>
        <v>7.3684210526315788</v>
      </c>
      <c r="E44" s="64">
        <f>IFERROR(IF(N(staffsettings!$R$9)&gt;0,N(staffsettings!$R$9),""),"")</f>
        <v>7.3684210526315788</v>
      </c>
      <c r="G44" s="75"/>
      <c r="H44" s="75"/>
      <c r="I44" s="75"/>
      <c r="O44" s="23" t="str">
        <f>staffsettings!AM2</f>
        <v>Default</v>
      </c>
      <c r="P44" s="49" t="str">
        <f>staffsettings!AN2</f>
        <v>N</v>
      </c>
      <c r="Q44" s="45"/>
      <c r="R44" s="43"/>
      <c r="T44" s="22">
        <f t="shared" ca="1" si="5"/>
        <v>19</v>
      </c>
      <c r="U44" s="22">
        <f>D44</f>
        <v>7.3684210526315788</v>
      </c>
      <c r="V44" s="22">
        <f t="shared" ca="1" si="6"/>
        <v>140</v>
      </c>
    </row>
    <row r="45" spans="1:25" x14ac:dyDescent="0.25">
      <c r="A45" s="1" t="s">
        <v>339</v>
      </c>
      <c r="B45" s="97"/>
      <c r="C45" s="97"/>
      <c r="D45" s="68">
        <f ca="1">IF(COUNTA($A$3:$A$33)=0,"",24*SUMIFS($F$3:$F$33,$M$3:$M$33,"WD"))</f>
        <v>0</v>
      </c>
      <c r="E45" s="68">
        <f ca="1">SUM($J$3:$J$33)</f>
        <v>8.9999999999999964</v>
      </c>
      <c r="G45" s="68"/>
      <c r="H45" s="68"/>
      <c r="I45" s="68"/>
      <c r="O45" s="23" t="str">
        <f>staffsettings!AM3</f>
        <v>Rest Day</v>
      </c>
      <c r="P45" s="49" t="str">
        <f>staffsettings!AN3</f>
        <v>RD</v>
      </c>
      <c r="Q45" s="45"/>
      <c r="R45" s="43"/>
      <c r="V45" s="22">
        <f ca="1">SUM(V41:V44)</f>
        <v>1740</v>
      </c>
    </row>
    <row r="46" spans="1:25" x14ac:dyDescent="0.25">
      <c r="A46" s="1" t="s">
        <v>340</v>
      </c>
      <c r="B46" s="97"/>
      <c r="C46" s="97"/>
      <c r="D46" s="68">
        <f ca="1">IF(COUNTA($A$3:$A$33)=0,"",24*SUMIFS($F$3:$F$33,$M$3:$M$33,"WDI"))</f>
        <v>0</v>
      </c>
      <c r="E46" s="68">
        <f ca="1">SUM($U$18:$U$30)</f>
        <v>8.9999999999999964</v>
      </c>
      <c r="G46" s="68"/>
      <c r="H46" s="68"/>
      <c r="I46" s="68"/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F50*D40</f>
        <v>1760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209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22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209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209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M3:M33" xr:uid="{DD8C3F03-F38C-48F6-9632-13BC8A2A735E}">
      <formula1>PayStructureList</formula1>
    </dataValidation>
    <dataValidation type="list" allowBlank="1" showInputMessage="1" showErrorMessage="1" sqref="K3:K33" xr:uid="{95E6FE13-820C-4A4A-9DDE-E23CF3B370C6}">
      <formula1>AttendanceList</formula1>
    </dataValidation>
    <dataValidation type="list" allowBlank="1" showInputMessage="1" showErrorMessage="1" sqref="L3:L33" xr:uid="{DC0ADCE1-5B73-4926-988C-05955C069883}">
      <formula1>OTTypeList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D3B2D70-D94D-45D7-B235-15B6D4E60461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BE45C354-01CE-45C5-BEA5-7F4F73A76196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3D66E-DEBB-427D-B3A0-4F9DADE6C84F}">
  <sheetPr codeName="Sheet18"/>
  <dimension ref="A1:Y50"/>
  <sheetViews>
    <sheetView zoomScale="75" zoomScaleNormal="75" workbookViewId="0">
      <selection activeCell="T18" sqref="T18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FEBRUARY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44592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44593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44594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44595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44596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6.2499999999999889E-2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44597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44598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0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44599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0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44600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44601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44602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6.2499999999999889E-2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44603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6.2499999999999889E-2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44604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44605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0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44606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44607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44608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44609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0.39583333333333331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44610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0.39583333333333331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44611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0.39583333333333331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44612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44613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44614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44615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44616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0.39583333333333331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44617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0.39583333333333331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44618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0.39583333333333331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44619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t="str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/>
      </c>
      <c r="B31" s="40"/>
      <c r="C31" s="41" t="str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1" s="41" t="str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1" s="40">
        <f t="shared" si="3"/>
        <v>0.70833333333333337</v>
      </c>
      <c r="F31" s="41" t="str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1" s="41" t="str">
        <f t="shared" ca="1" si="0"/>
        <v/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 t="str">
        <f t="shared" ca="1" si="1"/>
        <v/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t="str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/>
      </c>
      <c r="B32" s="40"/>
      <c r="C32" s="41" t="str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2" s="41" t="str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2" s="40">
        <f t="shared" si="3"/>
        <v>0.70833333333333337</v>
      </c>
      <c r="F32" s="41" t="str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2" s="41" t="str">
        <f t="shared" ca="1" si="0"/>
        <v/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 t="str">
        <f t="shared" ca="1" si="1"/>
        <v/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t="str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/>
      </c>
      <c r="B33" s="40"/>
      <c r="C33" s="41" t="str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3" s="41" t="str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3" s="40">
        <f t="shared" si="3"/>
        <v>0.70833333333333337</v>
      </c>
      <c r="F33" s="41" t="str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3" s="41" t="str">
        <f t="shared" ca="1" si="0"/>
        <v/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 t="str">
        <f t="shared" ca="1" si="1"/>
        <v/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109.99999999999997</v>
      </c>
      <c r="J34" s="68"/>
      <c r="K34" s="68"/>
      <c r="L34" s="68"/>
      <c r="M34" s="68"/>
      <c r="N34" s="11">
        <f ca="1">SUM(N3:N30)</f>
        <v>4.5833333333333321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8.4210526315789505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20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109.99999999999997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190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9.5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100.49999999999997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1600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80.000000000000028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20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80.000000000000028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190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L3:L33" xr:uid="{75EA0C81-B9E1-47EB-A68E-5EB284E2BD41}">
      <formula1>OTTypeList</formula1>
    </dataValidation>
    <dataValidation type="list" allowBlank="1" showInputMessage="1" showErrorMessage="1" sqref="K3:K33" xr:uid="{BFCE3D46-478C-492B-8546-A59F33B24A63}">
      <formula1>AttendanceList</formula1>
    </dataValidation>
    <dataValidation type="list" allowBlank="1" showInputMessage="1" showErrorMessage="1" sqref="M3:M33" xr:uid="{FC444038-A551-4664-91E8-61ACD2E6D34A}">
      <formula1>PayStructureList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EA0D785-A42D-4E03-9422-21B16369AB17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070A05A6-4DF0-4BC0-B44F-F5DFC6C7E544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08923-27BF-403C-B860-82661C39B1CC}">
  <sheetPr codeName="Sheet17"/>
  <dimension ref="A1:Y50"/>
  <sheetViews>
    <sheetView zoomScale="75" zoomScaleNormal="75" workbookViewId="0">
      <selection activeCell="D37" sqref="D3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MARCH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44620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44621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44622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44623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44624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6.2499999999999889E-2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44625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44626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0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44627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0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44628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44629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44630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6.2499999999999889E-2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44631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6.2499999999999889E-2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44632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44633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0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44634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44635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44636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44637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0.39583333333333331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44638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0.39583333333333331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44639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0.39583333333333331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44640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44641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44642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44643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44644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0.39583333333333331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44645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0.39583333333333331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44646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0.39583333333333331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44647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44648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44649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44650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>
        <f t="shared" si="3"/>
        <v>0.70833333333333337</v>
      </c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3" s="41">
        <f t="shared" ca="1" si="0"/>
        <v>0.70833333333333337</v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>
        <f t="shared" ca="1" si="1"/>
        <v>0.39583333333333331</v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119.49999999999997</v>
      </c>
      <c r="J34" s="68"/>
      <c r="K34" s="68"/>
      <c r="L34" s="68"/>
      <c r="M34" s="68"/>
      <c r="N34" s="11">
        <f ca="1">SUM(N3:N30)</f>
        <v>4.1874999999999991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8.4210526315789505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21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119.49999999999997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199.5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3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3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9.5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109.99999999999997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1680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80.000000000000028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21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80.000000000000028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199.5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M3:M33" xr:uid="{C3729626-B239-4CC5-B807-D2760867A822}">
      <formula1>PayStructureList</formula1>
    </dataValidation>
    <dataValidation type="list" allowBlank="1" showInputMessage="1" showErrorMessage="1" sqref="K3:K33" xr:uid="{687C2C84-7A5F-4186-BDC8-CF7BA5941EB5}">
      <formula1>AttendanceList</formula1>
    </dataValidation>
    <dataValidation type="list" allowBlank="1" showInputMessage="1" showErrorMessage="1" sqref="L3:L33" xr:uid="{5CF8BDB6-9929-4E08-9F35-FFA1C8CFDA6C}">
      <formula1>OTTypeList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80D55EB-356C-4CA7-BF23-5B16E8EF60A2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BB54059A-F3A8-40A0-B42C-CF1BC96E3FD6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7BB5-2CCD-4C4D-89A8-A01C46198D9E}">
  <sheetPr codeName="Sheet13"/>
  <dimension ref="A1:Y50"/>
  <sheetViews>
    <sheetView zoomScale="75" zoomScaleNormal="75" workbookViewId="0">
      <selection activeCell="D37" sqref="D3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APRIL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44651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6.2499999999999889E-2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44652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44653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44654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0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44655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0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44656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44657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6.2499999999999889E-2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44658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6.2499999999999889E-2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44659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44660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44661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0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44662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0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44663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44664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6.2499999999999889E-2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44665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0.39583333333333331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44666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44667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44668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44669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44670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0.39583333333333331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44671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0.39583333333333331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44672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0.39583333333333331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44673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44674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44675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44676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44677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0.39583333333333331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44678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44679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0.39583333333333331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44680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t="str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/>
      </c>
      <c r="B33" s="40"/>
      <c r="C33" s="41" t="str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3" s="41" t="str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3" s="40">
        <f t="shared" si="3"/>
        <v>0.70833333333333337</v>
      </c>
      <c r="F33" s="41" t="str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3" s="41" t="str">
        <f t="shared" ca="1" si="0"/>
        <v/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 t="str">
        <f t="shared" ca="1" si="1"/>
        <v/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1.4999999999999973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119.49999999999997</v>
      </c>
      <c r="J34" s="68"/>
      <c r="K34" s="68"/>
      <c r="L34" s="68"/>
      <c r="M34" s="68"/>
      <c r="N34" s="11">
        <f ca="1">SUM(N3:N30)</f>
        <v>4.1874999999999991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9.4210526315789505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22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119.49999999999997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209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10.999999999999996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108.49999999999997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1760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89.500000000000028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22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89.500000000000028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209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L3:L33" xr:uid="{F74D0471-D354-48A9-ABED-68015C1D1BFB}">
      <formula1>OTTypeList</formula1>
    </dataValidation>
    <dataValidation type="list" allowBlank="1" showInputMessage="1" showErrorMessage="1" sqref="K3:K33" xr:uid="{6E442933-6042-4305-A78C-C22BE14BF4FF}">
      <formula1>AttendanceList</formula1>
    </dataValidation>
    <dataValidation type="list" allowBlank="1" showInputMessage="1" showErrorMessage="1" sqref="M3:M33" xr:uid="{0C38E7BE-A23C-4726-8EC4-E031EA6E342C}">
      <formula1>PayStructureList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2339B9E-66C2-4B8F-A42B-BD250733C256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1CF7C6F1-89A8-4437-B078-AC88851998E2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004E-B3CE-4767-9CD2-582313E6B9D2}">
  <sheetPr codeName="Sheet14"/>
  <dimension ref="A1:Y50"/>
  <sheetViews>
    <sheetView zoomScale="75" zoomScaleNormal="75" workbookViewId="0">
      <selection activeCell="Q29" sqref="Q29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MAY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44681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44682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320</v>
      </c>
      <c r="N4" s="100">
        <f t="shared" ref="N4:N33" ca="1" si="1">F4</f>
        <v>0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44683</v>
      </c>
      <c r="B5" s="40">
        <f t="shared" ref="B5:B24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320</v>
      </c>
      <c r="N5" s="100">
        <f t="shared" ca="1" si="1"/>
        <v>0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44684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320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44685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320</v>
      </c>
      <c r="N7" s="100">
        <f t="shared" ca="1" si="1"/>
        <v>6.2499999999999889E-2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44686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320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44687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320</v>
      </c>
      <c r="N9" s="100">
        <f t="shared" ca="1" si="1"/>
        <v>6.2499999999999889E-2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44688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320</v>
      </c>
      <c r="N10" s="100">
        <f t="shared" ca="1" si="1"/>
        <v>6.2499999999999889E-2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44689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320</v>
      </c>
      <c r="N11" s="100">
        <f t="shared" ca="1" si="1"/>
        <v>0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44690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320</v>
      </c>
      <c r="N12" s="100">
        <f t="shared" ca="1" si="1"/>
        <v>0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44691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320</v>
      </c>
      <c r="N13" s="100">
        <f t="shared" ca="1" si="1"/>
        <v>6.2499999999999889E-2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44692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320</v>
      </c>
      <c r="N14" s="100">
        <f t="shared" ca="1" si="1"/>
        <v>6.2499999999999889E-2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44693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320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44694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320</v>
      </c>
      <c r="N16" s="100">
        <f t="shared" ca="1" si="1"/>
        <v>6.2499999999999889E-2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44695</v>
      </c>
      <c r="B17" s="40">
        <f t="shared" si="2"/>
        <v>0.33333333333333331</v>
      </c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320</v>
      </c>
      <c r="N17" s="100">
        <f t="shared" ca="1" si="1"/>
        <v>6.2499999999999889E-2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44696</v>
      </c>
      <c r="B18" s="40">
        <f t="shared" si="2"/>
        <v>0.33333333333333331</v>
      </c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320</v>
      </c>
      <c r="N18" s="100">
        <f t="shared" ca="1" si="1"/>
        <v>0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45.47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44697</v>
      </c>
      <c r="B19" s="40">
        <f t="shared" si="2"/>
        <v>0.33333333333333331</v>
      </c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320</v>
      </c>
      <c r="N19" s="100">
        <f t="shared" ca="1" si="1"/>
        <v>0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60.63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44698</v>
      </c>
      <c r="B20" s="40">
        <f t="shared" si="2"/>
        <v>0.33333333333333331</v>
      </c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320</v>
      </c>
      <c r="N20" s="100">
        <f t="shared" ca="1" si="1"/>
        <v>6.2499999999999889E-2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75.790000000000006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44699</v>
      </c>
      <c r="B21" s="40">
        <f t="shared" si="2"/>
        <v>0.33333333333333331</v>
      </c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320</v>
      </c>
      <c r="N21" s="100">
        <f t="shared" ca="1" si="1"/>
        <v>6.2499999999999889E-2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90.95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44700</v>
      </c>
      <c r="B22" s="40">
        <f t="shared" si="2"/>
        <v>0.33333333333333331</v>
      </c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320</v>
      </c>
      <c r="N22" s="100">
        <f t="shared" ca="1" si="1"/>
        <v>6.2499999999999889E-2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121.26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44701</v>
      </c>
      <c r="B23" s="40">
        <f t="shared" si="2"/>
        <v>0.33333333333333331</v>
      </c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320</v>
      </c>
      <c r="N23" s="100">
        <f t="shared" ca="1" si="1"/>
        <v>6.2499999999999889E-2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44702</v>
      </c>
      <c r="B24" s="40">
        <f t="shared" si="2"/>
        <v>0.33333333333333331</v>
      </c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320</v>
      </c>
      <c r="N24" s="100">
        <f t="shared" ca="1" si="1"/>
        <v>6.2499999999999889E-2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44703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320</v>
      </c>
      <c r="N25" s="100">
        <f t="shared" ca="1" si="1"/>
        <v>0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44704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320</v>
      </c>
      <c r="N26" s="100">
        <f t="shared" ca="1" si="1"/>
        <v>0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44705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320</v>
      </c>
      <c r="N27" s="100">
        <f t="shared" ca="1" si="1"/>
        <v>0.39583333333333331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44706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320</v>
      </c>
      <c r="N28" s="100">
        <f t="shared" ca="1" si="1"/>
        <v>0.39583333333333331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44707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44708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320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44709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320</v>
      </c>
      <c r="N31" s="100">
        <f t="shared" ca="1" si="1"/>
        <v>0.39583333333333331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44710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320</v>
      </c>
      <c r="N32" s="100">
        <f t="shared" ca="1" si="1"/>
        <v>0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44711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>
        <f t="shared" si="3"/>
        <v>0.70833333333333337</v>
      </c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3" s="41">
        <f t="shared" ca="1" si="0"/>
        <v>0.70833333333333337</v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320</v>
      </c>
      <c r="N33" s="100">
        <f t="shared" ca="1" si="1"/>
        <v>0</v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50.999999999999957</v>
      </c>
      <c r="J34" s="68"/>
      <c r="K34" s="68"/>
      <c r="L34" s="68"/>
      <c r="M34" s="68"/>
      <c r="N34" s="11">
        <f ca="1">SUM(N3:N30)</f>
        <v>1.729166666666665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13.631578947368425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19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50.999999999999957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180.5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2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2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10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10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50.999999999999957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0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1520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129.50000000000006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19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129.50000000000006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180.5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M3:M33" xr:uid="{9331F68F-22B8-4B65-A065-62C185F07A9E}">
      <formula1>PayStructureList</formula1>
    </dataValidation>
    <dataValidation type="list" allowBlank="1" showInputMessage="1" showErrorMessage="1" sqref="K3:K33" xr:uid="{122E3057-0CC7-4122-B0F7-193A79E6B1F5}">
      <formula1>AttendanceList</formula1>
    </dataValidation>
    <dataValidation type="list" allowBlank="1" showInputMessage="1" showErrorMessage="1" sqref="L3:L33" xr:uid="{D738CA83-5F36-41CF-964C-6F195B79A889}">
      <formula1>OTTypeList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630F261-E1A3-4DB5-B98A-772E16EEA3F2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048FEFB8-0797-4C56-AB93-06651DEC9B76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38828-18F1-4938-989D-9C4BD3106125}">
  <sheetPr codeName="Sheet16"/>
  <dimension ref="A1:Y50"/>
  <sheetViews>
    <sheetView zoomScale="75" zoomScaleNormal="75" workbookViewId="0">
      <selection activeCell="T1" sqref="T1:Y38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JUNE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44712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44713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44714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44715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44716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6.2499999999999889E-2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44717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0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44718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0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44719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6.2499999999999889E-2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44720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44721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44722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6.2499999999999889E-2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44723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6.2499999999999889E-2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44724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0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44725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0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44726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0.39583333333333331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44727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44728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44729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0.39583333333333331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44730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0.39583333333333331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44731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44732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44733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0.39583333333333331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44734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44735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44736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0.39583333333333331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44737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0.39583333333333331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44738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44739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44740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0.39583333333333331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44741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t="str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/>
      </c>
      <c r="B33" s="40"/>
      <c r="C33" s="41" t="str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3" s="41" t="str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3" s="40">
        <f t="shared" si="3"/>
        <v>0.70833333333333337</v>
      </c>
      <c r="F33" s="41" t="str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3" s="41" t="str">
        <f t="shared" ca="1" si="0"/>
        <v/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 t="str">
        <f t="shared" ca="1" si="1"/>
        <v/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117.99999999999997</v>
      </c>
      <c r="J34" s="68"/>
      <c r="K34" s="68"/>
      <c r="L34" s="68"/>
      <c r="M34" s="68"/>
      <c r="N34" s="11">
        <f ca="1">SUM(N3:N30)</f>
        <v>4.1249999999999991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7.5789473684210549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20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117.99999999999997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190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2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2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0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117.99999999999997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1600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72.000000000000028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20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72.000000000000028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190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L3:L33" xr:uid="{C07D8E4B-7413-4788-B4D0-5FDE59C68D09}">
      <formula1>OTTypeList</formula1>
    </dataValidation>
    <dataValidation type="list" allowBlank="1" showInputMessage="1" showErrorMessage="1" sqref="K3:K33" xr:uid="{3A759D3F-1471-40FE-BE32-400FA25E9B97}">
      <formula1>AttendanceList</formula1>
    </dataValidation>
    <dataValidation type="list" allowBlank="1" showInputMessage="1" showErrorMessage="1" sqref="M3:M33" xr:uid="{AC58D0B0-68B6-42D4-ADAB-A2E6896A3D24}">
      <formula1>PayStructureList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95CE52D-130E-4B7A-A6CB-C64A9521445D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BD294D89-2F14-4B85-AC8A-7592CC505E2D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C5D4C-8E63-4CE6-A3EE-89FFABDABC90}">
  <sheetPr codeName="Sheet20"/>
  <dimension ref="A1:Y50"/>
  <sheetViews>
    <sheetView zoomScale="75" zoomScaleNormal="75" workbookViewId="0">
      <selection activeCell="D37" sqref="D3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JULY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44742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6.2499999999999889E-2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44743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44744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44745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0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44746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0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44747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44748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6.2499999999999889E-2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44749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6.2499999999999889E-2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44750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44751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44752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0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44753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0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44754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44755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6.2499999999999889E-2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44756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0.39583333333333331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44757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44758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44759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44760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44761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0.39583333333333331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44762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0.39583333333333331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44763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0.39583333333333331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44764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44765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44766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44767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44768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0.39583333333333331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44769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44770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0.39583333333333331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44771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44772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>
        <f t="shared" si="3"/>
        <v>0.70833333333333337</v>
      </c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3" s="41">
        <f t="shared" ca="1" si="0"/>
        <v>0.70833333333333337</v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>
        <f t="shared" ca="1" si="1"/>
        <v>0.39583333333333331</v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1.4999999999999973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128.99999999999994</v>
      </c>
      <c r="J34" s="68"/>
      <c r="K34" s="68"/>
      <c r="L34" s="68"/>
      <c r="M34" s="68"/>
      <c r="N34" s="11">
        <f ca="1">SUM(N3:N30)</f>
        <v>4.1874999999999991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9.421052631578954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23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128.99999999999994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218.5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10.999999999999996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117.99999999999997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1840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89.500000000000057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23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89.500000000000057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218.5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L3:L33" xr:uid="{33007B1E-40BD-4CBB-9A60-0C4C06EDB2B7}">
      <formula1>OTTypeList</formula1>
    </dataValidation>
    <dataValidation type="list" allowBlank="1" showInputMessage="1" showErrorMessage="1" sqref="K3:K33" xr:uid="{A6420766-213E-4922-9F94-DA7C58274480}">
      <formula1>AttendanceList</formula1>
    </dataValidation>
    <dataValidation type="list" allowBlank="1" showInputMessage="1" showErrorMessage="1" sqref="M3:M33" xr:uid="{59CF88DC-CA69-440A-8873-C1A3FF4F3ABE}">
      <formula1>PayStructureList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35BD0C4-7FBC-42BA-8A32-05410469A2C2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50833C1C-BCF2-448D-8B0E-2509BF238D64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72B34-5C12-4363-A3F8-3AA4B4B84ACA}">
  <sheetPr codeName="Sheet23"/>
  <dimension ref="A1:Y50"/>
  <sheetViews>
    <sheetView zoomScale="75" zoomScaleNormal="75" workbookViewId="0">
      <selection activeCell="D37" sqref="D3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AUGUST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44773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44774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0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44775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44776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44777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6.2499999999999889E-2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44778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44779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6.2499999999999889E-2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44780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0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44781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0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44782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44783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6.2499999999999889E-2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44784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6.2499999999999889E-2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44785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44786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6.2499999999999889E-2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44787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44788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44789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44790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0.39583333333333331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44791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0.39583333333333331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44792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0.39583333333333331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44793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0.39583333333333331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44794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44795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44796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44797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44798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0.39583333333333331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44799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0.39583333333333331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44800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44801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44802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44803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>
        <f t="shared" si="3"/>
        <v>0.70833333333333337</v>
      </c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3" s="41">
        <f t="shared" ca="1" si="0"/>
        <v>0.70833333333333337</v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>
        <f t="shared" ca="1" si="1"/>
        <v>0</v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90.999999999999986</v>
      </c>
      <c r="J34" s="68"/>
      <c r="K34" s="68"/>
      <c r="L34" s="68"/>
      <c r="M34" s="68"/>
      <c r="N34" s="11">
        <f ca="1">SUM(N3:N30)</f>
        <v>3.7916666666666661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9.4210526315789487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19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90.999999999999986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180.5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2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2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10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10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9.5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81.499999999999986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1520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89.500000000000014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19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89.500000000000014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180.5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M3:M33" xr:uid="{80C71266-5F6F-4A31-81F4-38C75F53E51C}">
      <formula1>PayStructureList</formula1>
    </dataValidation>
    <dataValidation type="list" allowBlank="1" showInputMessage="1" showErrorMessage="1" sqref="K3:K33" xr:uid="{3C29B3B2-24BC-4871-94B2-2BEFE93D6D11}">
      <formula1>AttendanceList</formula1>
    </dataValidation>
    <dataValidation type="list" allowBlank="1" showInputMessage="1" showErrorMessage="1" sqref="L3:L33" xr:uid="{BF6C3997-29EA-4E8B-8013-FA3659480640}">
      <formula1>OTTypeList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099CE56-3183-4034-852C-88923C0F2A44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37A6F6DF-957E-41B1-A2D1-FAB6D3050E9D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428F3-65B7-4911-8638-058CBF83200B}">
  <sheetPr codeName="Sheet22"/>
  <dimension ref="A1:Y50"/>
  <sheetViews>
    <sheetView zoomScale="75" zoomScaleNormal="75" workbookViewId="0">
      <selection activeCell="D37" sqref="D3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SEPTEMBER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44804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6.2499999999999889E-2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44805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44806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44807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44808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0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44809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0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44810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6.2499999999999889E-2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44811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6.2499999999999889E-2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44812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44813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44814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6.2499999999999889E-2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44815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0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44816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0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44817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6.2499999999999889E-2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44818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0.39583333333333331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44819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44820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44821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0.39583333333333331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44822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44823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44824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0.39583333333333331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44825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0.39583333333333331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44826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44827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44828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0.39583333333333331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44829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44830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44831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44832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0.39583333333333331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44833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t="str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/>
      </c>
      <c r="B33" s="40"/>
      <c r="C33" s="41" t="str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3" s="41" t="str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3" s="40">
        <f t="shared" si="3"/>
        <v>0.70833333333333337</v>
      </c>
      <c r="F33" s="41" t="str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3" s="41" t="str">
        <f t="shared" ca="1" si="0"/>
        <v/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 t="str">
        <f t="shared" ca="1" si="1"/>
        <v/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1.4999999999999973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109.99999999999997</v>
      </c>
      <c r="J34" s="68"/>
      <c r="K34" s="68"/>
      <c r="L34" s="68"/>
      <c r="M34" s="68"/>
      <c r="N34" s="11">
        <f ca="1">SUM(N3:N30)</f>
        <v>3.7916666666666661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9.4210526315789505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21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109.99999999999997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199.5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1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1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1.4999999999999973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108.49999999999997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1680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89.500000000000028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21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89.500000000000028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199.5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L3:L33" xr:uid="{875D97F7-7B11-4591-889F-C85EA6EB23BD}">
      <formula1>OTTypeList</formula1>
    </dataValidation>
    <dataValidation type="list" allowBlank="1" showInputMessage="1" showErrorMessage="1" sqref="K3:K33" xr:uid="{C5FA7C12-5818-4968-968A-86EFABB34483}">
      <formula1>AttendanceList</formula1>
    </dataValidation>
    <dataValidation type="list" allowBlank="1" showInputMessage="1" showErrorMessage="1" sqref="M3:M33" xr:uid="{079088A2-949C-4767-B9AD-D5E8E3851A53}">
      <formula1>PayStructureList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56215EA-8CB7-4BB0-9397-94E2B82268E9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106B879E-8CB0-4AA6-9ADA-CCA96D83C377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795C3-2567-418D-B7C5-2792EF49B6FB}">
  <sheetPr codeName="Sheet21"/>
  <dimension ref="A1:Y50"/>
  <sheetViews>
    <sheetView zoomScale="75" zoomScaleNormal="75" workbookViewId="0">
      <selection activeCell="D37" sqref="D3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OCTOBER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44834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6.2499999999999889E-2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44835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44836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0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44837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0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44838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6.2499999999999889E-2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44839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44840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6.2499999999999889E-2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44841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6.2499999999999889E-2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44842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44843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0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44844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0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44845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6.2499999999999889E-2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44846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44847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6.2499999999999889E-2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44848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0.39583333333333331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44849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44850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44851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44852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0.39583333333333331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44853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0.39583333333333331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44854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0.39583333333333331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44855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0.39583333333333331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44856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44857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44858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44859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0.39583333333333331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44860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0.39583333333333331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44861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44862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0.39583333333333331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44863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44864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>
        <f t="shared" si="3"/>
        <v>0.70833333333333337</v>
      </c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3" s="41">
        <f t="shared" ca="1" si="0"/>
        <v>0.70833333333333337</v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>
        <f t="shared" ca="1" si="1"/>
        <v>0</v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1.4999999999999973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119.49999999999997</v>
      </c>
      <c r="J34" s="68"/>
      <c r="K34" s="68"/>
      <c r="L34" s="68"/>
      <c r="M34" s="68"/>
      <c r="N34" s="11">
        <f ca="1">SUM(N3:N30)</f>
        <v>4.1874999999999991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9.4210526315789505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22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119.49999999999997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209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10.999999999999996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108.49999999999997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1760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89.500000000000028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22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89.500000000000028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209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M3:M33" xr:uid="{49709A55-7D9E-42D4-B809-FD941A0AC32D}">
      <formula1>PayStructureList</formula1>
    </dataValidation>
    <dataValidation type="list" allowBlank="1" showInputMessage="1" showErrorMessage="1" sqref="K3:K33" xr:uid="{7AB05380-D1F7-4C97-99A1-61C6901CCB46}">
      <formula1>AttendanceList</formula1>
    </dataValidation>
    <dataValidation type="list" allowBlank="1" showInputMessage="1" showErrorMessage="1" sqref="L3:L33" xr:uid="{2E75D239-BCDC-4151-9C07-CEE9C17FD7B3}">
      <formula1>OTTypeList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5062F63-4D63-4E39-A963-CC67F326289E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396461ED-F432-4EB6-8F1B-26634344B475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CF09-FD52-4B7A-BCEB-676F5AEB3457}">
  <sheetPr codeName="Sheet24"/>
  <dimension ref="A1:Y50"/>
  <sheetViews>
    <sheetView zoomScale="75" zoomScaleNormal="75" workbookViewId="0">
      <selection activeCell="L45" sqref="L45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NOVEMBER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44865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0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44866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44867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44868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44869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6.2499999999999889E-2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44870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6.2499999999999889E-2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44871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0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44872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0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44873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44874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44875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6.2499999999999889E-2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44876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6.2499999999999889E-2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44877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6.2499999999999889E-2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44878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0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44879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44880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44881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44882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0.39583333333333331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44883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0.39583333333333331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44884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0.39583333333333331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44885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44886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44887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44888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44889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0.39583333333333331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44890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0.39583333333333331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44891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0.39583333333333331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44892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44893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44894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t="str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/>
      </c>
      <c r="B33" s="40"/>
      <c r="C33" s="41" t="str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/>
      </c>
      <c r="D33" s="41" t="str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/>
      </c>
      <c r="E33" s="40">
        <f t="shared" si="3"/>
        <v>0.70833333333333337</v>
      </c>
      <c r="F33" s="41" t="str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/>
      </c>
      <c r="G33" s="41" t="str">
        <f t="shared" ca="1" si="0"/>
        <v/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 t="str">
        <f t="shared" ca="1" si="1"/>
        <v/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0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119.49999999999997</v>
      </c>
      <c r="J34" s="68"/>
      <c r="K34" s="68"/>
      <c r="L34" s="68"/>
      <c r="M34" s="68"/>
      <c r="N34" s="11">
        <f ca="1">SUM(N3:N30)</f>
        <v>4.5833333333333321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8.4210526315789505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21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119.49999999999997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199.5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0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9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9.5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109.99999999999997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1680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80.000000000000028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21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80.000000000000028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199.5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L3:L33" xr:uid="{3AE6F20F-057D-4FB2-B180-23C4B072FA40}">
      <formula1>OTTypeList</formula1>
    </dataValidation>
    <dataValidation type="list" allowBlank="1" showInputMessage="1" showErrorMessage="1" sqref="K3:K33" xr:uid="{2ED4A9D0-B806-4F06-ABEF-4FC1DC0E2D4D}">
      <formula1>AttendanceList</formula1>
    </dataValidation>
    <dataValidation type="list" allowBlank="1" showInputMessage="1" showErrorMessage="1" sqref="M3:M33" xr:uid="{002F84A1-2508-4A28-AACF-F75DC93564E1}">
      <formula1>PayStructureList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DA14E3F-F756-4B01-8BD5-59919085AF61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B8E87862-A88F-4F07-9B1D-82C8738DCC74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F8AAA-AEE0-4D15-9CBD-CACFBBE970DF}">
  <sheetPr codeName="Sheet15"/>
  <dimension ref="A1:Y50"/>
  <sheetViews>
    <sheetView zoomScale="75" zoomScaleNormal="75" workbookViewId="0">
      <selection activeCell="D37" sqref="D37"/>
    </sheetView>
  </sheetViews>
  <sheetFormatPr defaultRowHeight="15" x14ac:dyDescent="0.25"/>
  <cols>
    <col min="1" max="1" width="31.7109375" style="1" bestFit="1" customWidth="1"/>
    <col min="2" max="5" width="6.42578125" style="17" customWidth="1"/>
    <col min="6" max="6" width="7.7109375" style="17" customWidth="1"/>
    <col min="7" max="9" width="6.42578125" style="17" customWidth="1"/>
    <col min="10" max="10" width="7.7109375" style="17" customWidth="1"/>
    <col min="11" max="13" width="4.7109375" style="17" customWidth="1"/>
    <col min="14" max="14" width="5.7109375" style="11" bestFit="1" customWidth="1"/>
    <col min="15" max="15" width="42.7109375" style="1" customWidth="1"/>
    <col min="16" max="16" width="10.7109375" style="1" customWidth="1"/>
    <col min="17" max="17" width="42.7109375" style="1" customWidth="1"/>
    <col min="18" max="18" width="10.7109375" style="1" customWidth="1"/>
    <col min="19" max="19" width="1.7109375" style="1" customWidth="1"/>
    <col min="20" max="20" width="21.7109375" style="1" customWidth="1"/>
    <col min="21" max="21" width="8.5703125" style="1" bestFit="1" customWidth="1"/>
    <col min="22" max="22" width="37.7109375" style="1" customWidth="1"/>
    <col min="23" max="23" width="21.7109375" style="1" customWidth="1"/>
    <col min="24" max="24" width="7.7109375" style="1" customWidth="1"/>
    <col min="25" max="25" width="37.7109375" style="1" customWidth="1"/>
    <col min="26" max="26" width="1.7109375" style="1" customWidth="1"/>
    <col min="27" max="16384" width="9.140625" style="1"/>
  </cols>
  <sheetData>
    <row r="1" spans="1:25" x14ac:dyDescent="0.25">
      <c r="A1" s="3" t="s">
        <v>220</v>
      </c>
    </row>
    <row r="2" spans="1:25" x14ac:dyDescent="0.25">
      <c r="A2" s="20" t="s">
        <v>0</v>
      </c>
      <c r="B2" s="20" t="s">
        <v>4</v>
      </c>
      <c r="C2" s="20" t="s">
        <v>222</v>
      </c>
      <c r="D2" s="20" t="s">
        <v>223</v>
      </c>
      <c r="E2" s="20" t="s">
        <v>221</v>
      </c>
      <c r="F2" s="20" t="s">
        <v>235</v>
      </c>
      <c r="G2" s="20" t="s">
        <v>224</v>
      </c>
      <c r="H2" s="20" t="s">
        <v>227</v>
      </c>
      <c r="I2" s="20" t="s">
        <v>225</v>
      </c>
      <c r="J2" s="20" t="s">
        <v>226</v>
      </c>
      <c r="K2" s="20" t="s">
        <v>312</v>
      </c>
      <c r="L2" s="21" t="s">
        <v>311</v>
      </c>
      <c r="M2" s="59" t="s">
        <v>322</v>
      </c>
      <c r="N2" s="59" t="s">
        <v>100</v>
      </c>
      <c r="O2" s="78" t="s">
        <v>1</v>
      </c>
      <c r="P2" s="78" t="s">
        <v>2</v>
      </c>
      <c r="Q2" s="78" t="s">
        <v>3</v>
      </c>
      <c r="R2" s="78" t="s">
        <v>2</v>
      </c>
      <c r="T2" s="50" t="str">
        <f>companysettings!$B$3</f>
        <v>SA0019087-A</v>
      </c>
      <c r="U2" s="29"/>
      <c r="V2" s="29"/>
      <c r="W2" s="29"/>
      <c r="X2" s="29"/>
      <c r="Y2" s="47" t="str" cm="1">
        <f t="array" aca="1" ref="Y2" ca="1">UPPER("PAYSLIP - "&amp;TEXT(DATE(companysettings!$N$2,VALUE(MID(CELL("filename",A1),FIND("]",CELL("filename",A1))+1,2)),1),"mmmm yyyy"))</f>
        <v>PAYSLIP - DECEMBER 2026</v>
      </c>
    </row>
    <row r="3" spans="1:25" x14ac:dyDescent="0.25">
      <c r="A3" s="10" cm="1">
        <f t="array" aca="1" ref="A3" ca="1">_xlfn.LET(
  _xlpm.yr, VALUE(companysettings!$N$2),
  _xlpm.mn, IFERROR(VALUE(MID(CELL("filename",A2),FIND("]",CELL("filename",A2))+1,2)),$H$2),
  IF(OR(_xlpm.yr="",_xlpm.mn=""),"",
     IF(ROW()-2&gt;DAY(EOMONTH(DATE(_xlpm.yr,_xlpm.mn,1),0)),"",DATE(_xlpm.yr,_xlpm.mn,ROW()-2))
  )
)</f>
        <v>44895</v>
      </c>
      <c r="B3" s="40">
        <v>0.33333333333333331</v>
      </c>
      <c r="C3" s="41">
        <f ca="1">IF($A3="","",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" s="41">
        <f ca="1">IF($A3="","",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" s="40">
        <v>0.70833333333333337</v>
      </c>
      <c r="F3" s="41">
        <f ca="1">IF($A3="","",
 _xlfn.LET(
  _xlpm.d,$A3,
  _xlpm.ti,$B3, _xlpm.eo,$E3, _xlpm.bs,$C3, _xlpm.be,$D3,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3" s="41">
        <f ca="1">IF($A3="","",IF($H3&lt;&gt;"",$H3,IF($E3&lt;&gt;"",$E3,"")))</f>
        <v>0.70833333333333337</v>
      </c>
      <c r="H3" s="40">
        <v>0.70833333333333337</v>
      </c>
      <c r="I3" s="40">
        <v>0.79166666666666663</v>
      </c>
      <c r="J3" s="42">
        <f ca="1">IF(OR($A3="",$G3="",$I3=""),"",
  _xlfn.LET(
    _xlpm.st,$G3,_xlpm.en,$I3,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3" s="19" t="s">
        <v>314</v>
      </c>
      <c r="L3" s="19" t="s">
        <v>316</v>
      </c>
      <c r="M3" s="19" t="s">
        <v>320</v>
      </c>
      <c r="N3" s="100">
        <f ca="1">F3</f>
        <v>6.2499999999999889E-2</v>
      </c>
      <c r="O3" s="23"/>
      <c r="P3" s="79"/>
      <c r="Q3" s="80"/>
      <c r="R3" s="79"/>
      <c r="T3" s="30"/>
      <c r="U3" s="33"/>
      <c r="V3" s="33"/>
      <c r="W3" s="33"/>
      <c r="X3" s="33"/>
      <c r="Y3" s="31"/>
    </row>
    <row r="4" spans="1:25" x14ac:dyDescent="0.25">
      <c r="A4" s="10" cm="1">
        <f t="array" aca="1" ref="A4" ca="1">_xlfn.LET(
  _xlpm.yr, VALUE(companysettings!$N$2),
  _xlpm.mn, IFERROR(VALUE(MID(CELL("filename",A3),FIND("]",CELL("filename",A3))+1,2)),$H$2),
  IF(OR(_xlpm.yr="",_xlpm.mn=""),"",
     IF(ROW()-2&gt;DAY(EOMONTH(DATE(_xlpm.yr,_xlpm.mn,1),0)),"",DATE(_xlpm.yr,_xlpm.mn,ROW()-2))
  )
)</f>
        <v>44896</v>
      </c>
      <c r="B4" s="40">
        <f>$B$3</f>
        <v>0.33333333333333331</v>
      </c>
      <c r="C4" s="41">
        <f ca="1">IF($A4="","",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4" s="41">
        <f ca="1">IF($A4="","",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4" s="40">
        <f>$E$3</f>
        <v>0.70833333333333337</v>
      </c>
      <c r="F4" s="41">
        <f ca="1">IF($A4="","",
 _xlfn.LET(
  _xlpm.d,$A4,
  _xlpm.ti,$B4, _xlpm.eo,$E4, _xlpm.bs,$C4, _xlpm.be,$D4,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4" s="41">
        <f t="shared" ref="G4:G33" ca="1" si="0">IF($A4="","",IF($H4&lt;&gt;"",$H4,IF($E4&lt;&gt;"",$E4,"")))</f>
        <v>0.70833333333333337</v>
      </c>
      <c r="H4" s="40">
        <v>0.70833333333333337</v>
      </c>
      <c r="I4" s="40">
        <v>0.79166666666666663</v>
      </c>
      <c r="J4" s="42">
        <f ca="1">IF(OR($A4="",$G4="",$I4=""),"",
  _xlfn.LET(
    _xlpm.st,$G4,_xlpm.en,$I4,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4" s="19" t="s">
        <v>314</v>
      </c>
      <c r="L4" s="19" t="s">
        <v>341</v>
      </c>
      <c r="M4" s="19" t="s">
        <v>321</v>
      </c>
      <c r="N4" s="100">
        <f t="shared" ref="N4:N33" ca="1" si="1">F4</f>
        <v>6.2499999999999889E-2</v>
      </c>
      <c r="O4" s="23"/>
      <c r="P4" s="79"/>
      <c r="Q4" s="80"/>
      <c r="R4" s="79"/>
      <c r="T4" s="30"/>
      <c r="U4" s="33"/>
      <c r="V4" s="33"/>
      <c r="W4" s="33"/>
      <c r="X4" s="33"/>
      <c r="Y4" s="31"/>
    </row>
    <row r="5" spans="1:25" ht="15" customHeight="1" x14ac:dyDescent="0.25">
      <c r="A5" s="10" cm="1">
        <f t="array" aca="1" ref="A5" ca="1">_xlfn.LET(
  _xlpm.yr, VALUE(companysettings!$N$2),
  _xlpm.mn, IFERROR(VALUE(MID(CELL("filename",A4),FIND("]",CELL("filename",A4))+1,2)),$H$2),
  IF(OR(_xlpm.yr="",_xlpm.mn=""),"",
     IF(ROW()-2&gt;DAY(EOMONTH(DATE(_xlpm.yr,_xlpm.mn,1),0)),"",DATE(_xlpm.yr,_xlpm.mn,ROW()-2))
  )
)</f>
        <v>44897</v>
      </c>
      <c r="B5" s="40">
        <f t="shared" ref="B5:B16" si="2">$B$3</f>
        <v>0.33333333333333331</v>
      </c>
      <c r="C5" s="41">
        <f ca="1">IF($A5="","",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5" s="41">
        <f ca="1">IF($A5="","",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5" s="40">
        <f t="shared" ref="E5:E33" si="3">$E$3</f>
        <v>0.70833333333333337</v>
      </c>
      <c r="F5" s="41">
        <f ca="1">IF($A5="","",
 _xlfn.LET(
  _xlpm.d,$A5,
  _xlpm.ti,$B5, _xlpm.eo,$E5, _xlpm.bs,$C5, _xlpm.be,$D5,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5" s="41">
        <f t="shared" ca="1" si="0"/>
        <v>0.70833333333333337</v>
      </c>
      <c r="H5" s="40">
        <v>0.70833333333333337</v>
      </c>
      <c r="I5" s="40">
        <v>0.79166666666666663</v>
      </c>
      <c r="J5" s="42">
        <f ca="1">IF(OR($A5="",$G5="",$I5=""),"",
  _xlfn.LET(
    _xlpm.st,$G5,_xlpm.en,$I5,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5" s="19" t="s">
        <v>314</v>
      </c>
      <c r="L5" s="19" t="s">
        <v>306</v>
      </c>
      <c r="M5" s="19" t="s">
        <v>321</v>
      </c>
      <c r="N5" s="100">
        <f t="shared" ca="1" si="1"/>
        <v>6.2499999999999889E-2</v>
      </c>
      <c r="O5" s="23"/>
      <c r="P5" s="79"/>
      <c r="Q5" s="80"/>
      <c r="R5" s="79"/>
      <c r="T5" s="110" t="e" cm="1">
        <f t="array" aca="1" ref="T5" ca="1">Line1()&amp;CHAR(10)&amp;Line2()&amp;CHAR(10)&amp;SocialLine()</f>
        <v>#NAME?</v>
      </c>
      <c r="U5" s="111"/>
      <c r="V5" s="111"/>
      <c r="W5" s="111"/>
      <c r="X5" s="111"/>
      <c r="Y5" s="112"/>
    </row>
    <row r="6" spans="1:25" ht="15" customHeight="1" x14ac:dyDescent="0.25">
      <c r="A6" s="10" cm="1">
        <f t="array" aca="1" ref="A6" ca="1">_xlfn.LET(
  _xlpm.yr, VALUE(companysettings!$N$2),
  _xlpm.mn, IFERROR(VALUE(MID(CELL("filename",A5),FIND("]",CELL("filename",A5))+1,2)),$H$2),
  IF(OR(_xlpm.yr="",_xlpm.mn=""),"",
     IF(ROW()-2&gt;DAY(EOMONTH(DATE(_xlpm.yr,_xlpm.mn,1),0)),"",DATE(_xlpm.yr,_xlpm.mn,ROW()-2))
  )
)</f>
        <v>44898</v>
      </c>
      <c r="B6" s="40">
        <f t="shared" si="2"/>
        <v>0.33333333333333331</v>
      </c>
      <c r="C6" s="41">
        <f ca="1">IF($A6="","",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6" s="41">
        <f ca="1">IF($A6="","",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6" s="40">
        <f t="shared" si="3"/>
        <v>0.70833333333333337</v>
      </c>
      <c r="F6" s="41">
        <f ca="1">IF($A6="","",
 _xlfn.LET(
  _xlpm.d,$A6,
  _xlpm.ti,$B6, _xlpm.eo,$E6, _xlpm.bs,$C6, _xlpm.be,$D6,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6" s="41">
        <f t="shared" ca="1" si="0"/>
        <v>0.70833333333333337</v>
      </c>
      <c r="H6" s="40">
        <v>0.70833333333333337</v>
      </c>
      <c r="I6" s="40">
        <v>0.79166666666666663</v>
      </c>
      <c r="J6" s="42">
        <f ca="1">IF(OR($A6="",$G6="",$I6=""),"",
  _xlfn.LET(
    _xlpm.st,$G6,_xlpm.en,$I6,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6" s="19" t="s">
        <v>314</v>
      </c>
      <c r="L6" s="19" t="s">
        <v>314</v>
      </c>
      <c r="M6" s="19" t="s">
        <v>321</v>
      </c>
      <c r="N6" s="100">
        <f t="shared" ca="1" si="1"/>
        <v>6.2499999999999889E-2</v>
      </c>
      <c r="O6" s="23"/>
      <c r="P6" s="79"/>
      <c r="Q6" s="80"/>
      <c r="R6" s="79"/>
      <c r="T6" s="110"/>
      <c r="U6" s="111"/>
      <c r="V6" s="111"/>
      <c r="W6" s="111"/>
      <c r="X6" s="111"/>
      <c r="Y6" s="112"/>
    </row>
    <row r="7" spans="1:25" x14ac:dyDescent="0.25">
      <c r="A7" s="10" cm="1">
        <f t="array" aca="1" ref="A7" ca="1">_xlfn.LET(
  _xlpm.yr, VALUE(companysettings!$N$2),
  _xlpm.mn, IFERROR(VALUE(MID(CELL("filename",A6),FIND("]",CELL("filename",A6))+1,2)),$H$2),
  IF(OR(_xlpm.yr="",_xlpm.mn=""),"",
     IF(ROW()-2&gt;DAY(EOMONTH(DATE(_xlpm.yr,_xlpm.mn,1),0)),"",DATE(_xlpm.yr,_xlpm.mn,ROW()-2))
  )
)</f>
        <v>44899</v>
      </c>
      <c r="B7" s="40">
        <f t="shared" si="2"/>
        <v>0.33333333333333331</v>
      </c>
      <c r="C7" s="41">
        <f ca="1">IF($A7="","",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7" s="41">
        <f ca="1">IF($A7="","",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7" s="40">
        <f t="shared" si="3"/>
        <v>0.70833333333333337</v>
      </c>
      <c r="F7" s="41">
        <f ca="1">IF($A7="","",
 _xlfn.LET(
  _xlpm.d,$A7,
  _xlpm.ti,$B7, _xlpm.eo,$E7, _xlpm.bs,$C7, _xlpm.be,$D7,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7" s="41">
        <f t="shared" ca="1" si="0"/>
        <v>0.70833333333333337</v>
      </c>
      <c r="H7" s="40">
        <v>0.70833333333333337</v>
      </c>
      <c r="I7" s="40">
        <v>0.79166666666666663</v>
      </c>
      <c r="J7" s="42">
        <f ca="1">IF(OR($A7="",$G7="",$I7=""),"",
  _xlfn.LET(
    _xlpm.st,$G7,_xlpm.en,$I7,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7" s="19" t="s">
        <v>314</v>
      </c>
      <c r="L7" s="19" t="s">
        <v>313</v>
      </c>
      <c r="M7" s="19" t="s">
        <v>321</v>
      </c>
      <c r="N7" s="100">
        <f t="shared" ca="1" si="1"/>
        <v>0</v>
      </c>
      <c r="O7" s="84"/>
      <c r="P7" s="79"/>
      <c r="Q7" s="80"/>
      <c r="R7" s="79"/>
      <c r="T7" s="110"/>
      <c r="U7" s="111"/>
      <c r="V7" s="111"/>
      <c r="W7" s="111"/>
      <c r="X7" s="111"/>
      <c r="Y7" s="112"/>
    </row>
    <row r="8" spans="1:25" x14ac:dyDescent="0.25">
      <c r="A8" s="10" cm="1">
        <f t="array" aca="1" ref="A8" ca="1">_xlfn.LET(
  _xlpm.yr, VALUE(companysettings!$N$2),
  _xlpm.mn, IFERROR(VALUE(MID(CELL("filename",A7),FIND("]",CELL("filename",A7))+1,2)),$H$2),
  IF(OR(_xlpm.yr="",_xlpm.mn=""),"",
     IF(ROW()-2&gt;DAY(EOMONTH(DATE(_xlpm.yr,_xlpm.mn,1),0)),"",DATE(_xlpm.yr,_xlpm.mn,ROW()-2))
  )
)</f>
        <v>44900</v>
      </c>
      <c r="B8" s="40">
        <f t="shared" si="2"/>
        <v>0.33333333333333331</v>
      </c>
      <c r="C8" s="41">
        <f ca="1">IF($A8="","",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8" s="41">
        <f ca="1">IF($A8="","",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8" s="40">
        <f t="shared" si="3"/>
        <v>0.70833333333333337</v>
      </c>
      <c r="F8" s="41">
        <f ca="1">IF($A8="","",
 _xlfn.LET(
  _xlpm.d,$A8,
  _xlpm.ti,$B8, _xlpm.eo,$E8, _xlpm.bs,$C8, _xlpm.be,$D8,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8" s="41">
        <f t="shared" ca="1" si="0"/>
        <v>0.70833333333333337</v>
      </c>
      <c r="H8" s="40">
        <v>0.70833333333333337</v>
      </c>
      <c r="I8" s="40">
        <v>0.79166666666666663</v>
      </c>
      <c r="J8" s="42">
        <f ca="1">IF(OR($A8="",$G8="",$I8=""),"",
  _xlfn.LET(
    _xlpm.st,$G8,_xlpm.en,$I8,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8" s="19" t="s">
        <v>314</v>
      </c>
      <c r="L8" s="19" t="s">
        <v>316</v>
      </c>
      <c r="M8" s="19" t="s">
        <v>321</v>
      </c>
      <c r="N8" s="100">
        <f t="shared" ca="1" si="1"/>
        <v>0</v>
      </c>
      <c r="O8" s="23"/>
      <c r="P8" s="79"/>
      <c r="Q8" s="80"/>
      <c r="R8" s="79"/>
      <c r="T8" s="110"/>
      <c r="U8" s="111"/>
      <c r="V8" s="111"/>
      <c r="W8" s="111"/>
      <c r="X8" s="111"/>
      <c r="Y8" s="112"/>
    </row>
    <row r="9" spans="1:25" x14ac:dyDescent="0.25">
      <c r="A9" s="10" cm="1">
        <f t="array" aca="1" ref="A9" ca="1">_xlfn.LET(
  _xlpm.yr, VALUE(companysettings!$N$2),
  _xlpm.mn, IFERROR(VALUE(MID(CELL("filename",A8),FIND("]",CELL("filename",A8))+1,2)),$H$2),
  IF(OR(_xlpm.yr="",_xlpm.mn=""),"",
     IF(ROW()-2&gt;DAY(EOMONTH(DATE(_xlpm.yr,_xlpm.mn,1),0)),"",DATE(_xlpm.yr,_xlpm.mn,ROW()-2))
  )
)</f>
        <v>44901</v>
      </c>
      <c r="B9" s="40">
        <f t="shared" si="2"/>
        <v>0.33333333333333331</v>
      </c>
      <c r="C9" s="41">
        <f ca="1">IF($A9="","",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9" s="41">
        <f ca="1">IF($A9="","",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9" s="40">
        <f t="shared" si="3"/>
        <v>0.70833333333333337</v>
      </c>
      <c r="F9" s="41">
        <f ca="1">IF($A9="","",
 _xlfn.LET(
  _xlpm.d,$A9,
  _xlpm.ti,$B9, _xlpm.eo,$E9, _xlpm.bs,$C9, _xlpm.be,$D9,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9" s="41">
        <f t="shared" ca="1" si="0"/>
        <v>0.70833333333333337</v>
      </c>
      <c r="H9" s="40">
        <v>0.70833333333333337</v>
      </c>
      <c r="I9" s="40">
        <v>0.79166666666666663</v>
      </c>
      <c r="J9" s="42">
        <f ca="1">IF(OR($A9="",$G9="",$I9=""),"",
  _xlfn.LET(
    _xlpm.st,$G9,_xlpm.en,$I9,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9" s="19" t="s">
        <v>314</v>
      </c>
      <c r="L9" s="19" t="s">
        <v>341</v>
      </c>
      <c r="M9" s="19" t="s">
        <v>321</v>
      </c>
      <c r="N9" s="100">
        <f t="shared" ca="1" si="1"/>
        <v>6.2499999999999889E-2</v>
      </c>
      <c r="O9" s="23"/>
      <c r="P9" s="79"/>
      <c r="Q9" s="80"/>
      <c r="R9" s="79"/>
      <c r="T9" s="113"/>
      <c r="U9" s="114"/>
      <c r="V9" s="114"/>
      <c r="W9" s="114"/>
      <c r="X9" s="114"/>
      <c r="Y9" s="115"/>
    </row>
    <row r="10" spans="1:25" x14ac:dyDescent="0.25">
      <c r="A10" s="10" cm="1">
        <f t="array" aca="1" ref="A10" ca="1">_xlfn.LET(
  _xlpm.yr, VALUE(companysettings!$N$2),
  _xlpm.mn, IFERROR(VALUE(MID(CELL("filename",A9),FIND("]",CELL("filename",A9))+1,2)),$H$2),
  IF(OR(_xlpm.yr="",_xlpm.mn=""),"",
     IF(ROW()-2&gt;DAY(EOMONTH(DATE(_xlpm.yr,_xlpm.mn,1),0)),"",DATE(_xlpm.yr,_xlpm.mn,ROW()-2))
  )
)</f>
        <v>44902</v>
      </c>
      <c r="B10" s="40">
        <f t="shared" si="2"/>
        <v>0.33333333333333331</v>
      </c>
      <c r="C10" s="41">
        <f ca="1">IF($A10="","",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0" s="41">
        <f ca="1">IF($A10="","",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0" s="40">
        <f t="shared" si="3"/>
        <v>0.70833333333333337</v>
      </c>
      <c r="F10" s="41">
        <f ca="1">IF($A10="","",
 _xlfn.LET(
  _xlpm.d,$A10,
  _xlpm.ti,$B10, _xlpm.eo,$E10, _xlpm.bs,$C10, _xlpm.be,$D10,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0" s="41">
        <f t="shared" ca="1" si="0"/>
        <v>0.70833333333333337</v>
      </c>
      <c r="H10" s="40">
        <v>0.70833333333333337</v>
      </c>
      <c r="I10" s="40">
        <v>0.79166666666666663</v>
      </c>
      <c r="J10" s="42">
        <f ca="1">IF(OR($A10="",$G10="",$I10=""),"",
  _xlfn.LET(
    _xlpm.st,$G10,_xlpm.en,$I10,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0" s="19" t="s">
        <v>314</v>
      </c>
      <c r="L10" s="19" t="s">
        <v>306</v>
      </c>
      <c r="M10" s="19" t="s">
        <v>321</v>
      </c>
      <c r="N10" s="100">
        <f t="shared" ca="1" si="1"/>
        <v>6.2499999999999889E-2</v>
      </c>
      <c r="O10" s="23"/>
      <c r="P10" s="79"/>
      <c r="Q10" s="80"/>
      <c r="R10" s="79"/>
      <c r="T10" s="35" t="s">
        <v>305</v>
      </c>
      <c r="U10" s="13"/>
      <c r="V10" s="92"/>
      <c r="W10" s="35" t="s">
        <v>338</v>
      </c>
      <c r="X10" s="13"/>
      <c r="Y10" s="91"/>
    </row>
    <row r="11" spans="1:25" x14ac:dyDescent="0.25">
      <c r="A11" s="10" cm="1">
        <f t="array" aca="1" ref="A11" ca="1">_xlfn.LET(
  _xlpm.yr, VALUE(companysettings!$N$2),
  _xlpm.mn, IFERROR(VALUE(MID(CELL("filename",A10),FIND("]",CELL("filename",A10))+1,2)),$H$2),
  IF(OR(_xlpm.yr="",_xlpm.mn=""),"",
     IF(ROW()-2&gt;DAY(EOMONTH(DATE(_xlpm.yr,_xlpm.mn,1),0)),"",DATE(_xlpm.yr,_xlpm.mn,ROW()-2))
  )
)</f>
        <v>44903</v>
      </c>
      <c r="B11" s="40">
        <f t="shared" si="2"/>
        <v>0.33333333333333331</v>
      </c>
      <c r="C11" s="41">
        <f ca="1">IF($A11="","",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1" s="41">
        <f ca="1">IF($A11="","",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1" s="40">
        <f t="shared" si="3"/>
        <v>0.70833333333333337</v>
      </c>
      <c r="F11" s="41">
        <f ca="1">IF($A11="","",
 _xlfn.LET(
  _xlpm.d,$A11,
  _xlpm.ti,$B11, _xlpm.eo,$E11, _xlpm.bs,$C11, _xlpm.be,$D11,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1" s="41">
        <f t="shared" ca="1" si="0"/>
        <v>0.70833333333333337</v>
      </c>
      <c r="H11" s="40">
        <v>0.70833333333333337</v>
      </c>
      <c r="I11" s="40">
        <v>0.79166666666666663</v>
      </c>
      <c r="J11" s="42">
        <f ca="1">IF(OR($A11="",$G11="",$I11=""),"",
  _xlfn.LET(
    _xlpm.st,$G11,_xlpm.en,$I11,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1" s="19" t="s">
        <v>314</v>
      </c>
      <c r="L11" s="19" t="s">
        <v>314</v>
      </c>
      <c r="M11" s="19" t="s">
        <v>321</v>
      </c>
      <c r="N11" s="100">
        <f t="shared" ca="1" si="1"/>
        <v>6.2499999999999889E-2</v>
      </c>
      <c r="O11" s="23"/>
      <c r="P11" s="79"/>
      <c r="Q11" s="80"/>
      <c r="R11" s="79"/>
      <c r="T11" s="14" t="e" cm="1" vm="1">
        <f t="array" ref="T11">IF(COUNTA($M$3:$M$33)=0,"",
 _xlfn._xlws.FILTER(
  staffsettings!$S$2:$S$20,
  COUNTIF($M$3:$M$33, staffsettings!$T$2:$T$20)&gt;0
 )
)</f>
        <v>#VALUE!</v>
      </c>
      <c r="U11" s="22" t="e" cm="1" vm="2">
        <f t="array" ref="U11">IF(T11="","",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T11,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>#VALUE!</v>
      </c>
      <c r="V11" s="64"/>
      <c r="W11" s="14"/>
      <c r="Y11" s="37"/>
    </row>
    <row r="12" spans="1:25" x14ac:dyDescent="0.25">
      <c r="A12" s="10" cm="1">
        <f t="array" aca="1" ref="A12" ca="1">_xlfn.LET(
  _xlpm.yr, VALUE(companysettings!$N$2),
  _xlpm.mn, IFERROR(VALUE(MID(CELL("filename",A11),FIND("]",CELL("filename",A11))+1,2)),$H$2),
  IF(OR(_xlpm.yr="",_xlpm.mn=""),"",
     IF(ROW()-2&gt;DAY(EOMONTH(DATE(_xlpm.yr,_xlpm.mn,1),0)),"",DATE(_xlpm.yr,_xlpm.mn,ROW()-2))
  )
)</f>
        <v>44904</v>
      </c>
      <c r="B12" s="40">
        <f t="shared" si="2"/>
        <v>0.33333333333333331</v>
      </c>
      <c r="C12" s="41">
        <f ca="1">IF($A12="","",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2" s="41">
        <f ca="1">IF($A12="","",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2" s="40">
        <f t="shared" si="3"/>
        <v>0.70833333333333337</v>
      </c>
      <c r="F12" s="41">
        <f ca="1">IF($A12="","",
 _xlfn.LET(
  _xlpm.d,$A12,
  _xlpm.ti,$B12, _xlpm.eo,$E12, _xlpm.bs,$C12, _xlpm.be,$D12,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2" s="41">
        <f t="shared" ca="1" si="0"/>
        <v>0.70833333333333337</v>
      </c>
      <c r="H12" s="40">
        <v>0.70833333333333337</v>
      </c>
      <c r="I12" s="40">
        <v>0.79166666666666663</v>
      </c>
      <c r="J12" s="42">
        <f ca="1">IF(OR($A12="",$G12="",$I12=""),"",
  _xlfn.LET(
    _xlpm.st,$G12,_xlpm.en,$I12,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>1.7999999999999983</v>
      </c>
      <c r="K12" s="19" t="s">
        <v>314</v>
      </c>
      <c r="L12" s="19" t="s">
        <v>313</v>
      </c>
      <c r="M12" s="19" t="s">
        <v>321</v>
      </c>
      <c r="N12" s="100">
        <f t="shared" ca="1" si="1"/>
        <v>6.2499999999999889E-2</v>
      </c>
      <c r="O12" s="85"/>
      <c r="P12" s="79"/>
      <c r="Q12" s="80"/>
      <c r="R12" s="79"/>
      <c r="T12" s="14"/>
      <c r="U12" s="22" t="str" cm="1">
        <f t="array" ref="U12">IF(T12="","",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T12,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2" s="64" t="str">
        <f>IF(U12="","",
 _xlfn.LET(
   _xlpm.lbl, T12,
   _xlpm.ps, IFERROR(
         INDEX(staffsettings!$T$2:$T$20,
               MATCH(_xlpm.lbl,staffsettings!$S$2:$S$20,0)
         ),
         ""
       ),
   _xlpm.rate, IF(_xlpm.ps="WD",$F$40,
           IF(_xlpm.ps="WDI",$F$44,0)
   ),
   U12*_xlpm.rate
 )
)</f>
        <v/>
      </c>
      <c r="W12" s="14"/>
      <c r="Y12" s="37"/>
    </row>
    <row r="13" spans="1:25" x14ac:dyDescent="0.25">
      <c r="A13" s="10" cm="1">
        <f t="array" aca="1" ref="A13" ca="1">_xlfn.LET(
  _xlpm.yr, VALUE(companysettings!$N$2),
  _xlpm.mn, IFERROR(VALUE(MID(CELL("filename",A12),FIND("]",CELL("filename",A12))+1,2)),$H$2),
  IF(OR(_xlpm.yr="",_xlpm.mn=""),"",
     IF(ROW()-2&gt;DAY(EOMONTH(DATE(_xlpm.yr,_xlpm.mn,1),0)),"",DATE(_xlpm.yr,_xlpm.mn,ROW()-2))
  )
)</f>
        <v>44905</v>
      </c>
      <c r="B13" s="40">
        <f t="shared" si="2"/>
        <v>0.33333333333333331</v>
      </c>
      <c r="C13" s="41">
        <f ca="1">IF($A13="","",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3" s="41">
        <f ca="1">IF($A13="","",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3" s="40">
        <f t="shared" si="3"/>
        <v>0.70833333333333337</v>
      </c>
      <c r="F13" s="41">
        <f ca="1">IF($A13="","",
 _xlfn.LET(
  _xlpm.d,$A13,
  _xlpm.ti,$B13, _xlpm.eo,$E13, _xlpm.bs,$C13, _xlpm.be,$D13,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3" s="41">
        <f t="shared" ca="1" si="0"/>
        <v>0.70833333333333337</v>
      </c>
      <c r="H13" s="40"/>
      <c r="I13" s="40"/>
      <c r="J13" s="42" t="str">
        <f ca="1">IF(OR($A13="",$G13="",$I13=""),"",
  _xlfn.LET(
    _xlpm.st,$G13,_xlpm.en,$I13,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3" s="19" t="s">
        <v>314</v>
      </c>
      <c r="L13" s="19" t="s">
        <v>316</v>
      </c>
      <c r="M13" s="19" t="s">
        <v>321</v>
      </c>
      <c r="N13" s="100">
        <f t="shared" ca="1" si="1"/>
        <v>0</v>
      </c>
      <c r="O13" s="85"/>
      <c r="P13" s="79"/>
      <c r="Q13" s="80"/>
      <c r="R13" s="79"/>
      <c r="T13" s="14"/>
      <c r="U13" s="22" t="str" cm="1">
        <f t="array" ref="U13">IF(T13="","",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T13,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3" s="64"/>
      <c r="W13" s="14"/>
      <c r="Y13" s="37"/>
    </row>
    <row r="14" spans="1:25" x14ac:dyDescent="0.25">
      <c r="A14" s="10" cm="1">
        <f t="array" aca="1" ref="A14" ca="1">_xlfn.LET(
  _xlpm.yr, VALUE(companysettings!$N$2),
  _xlpm.mn, IFERROR(VALUE(MID(CELL("filename",A13),FIND("]",CELL("filename",A13))+1,2)),$H$2),
  IF(OR(_xlpm.yr="",_xlpm.mn=""),"",
     IF(ROW()-2&gt;DAY(EOMONTH(DATE(_xlpm.yr,_xlpm.mn,1),0)),"",DATE(_xlpm.yr,_xlpm.mn,ROW()-2))
  )
)</f>
        <v>44906</v>
      </c>
      <c r="B14" s="40">
        <f t="shared" si="2"/>
        <v>0.33333333333333331</v>
      </c>
      <c r="C14" s="41">
        <f ca="1">IF($A14="","",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4" s="41">
        <f ca="1">IF($A14="","",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4" s="40">
        <f t="shared" si="3"/>
        <v>0.70833333333333337</v>
      </c>
      <c r="F14" s="41">
        <f ca="1">IF($A14="","",
 _xlfn.LET(
  _xlpm.d,$A14,
  _xlpm.ti,$B14, _xlpm.eo,$E14, _xlpm.bs,$C14, _xlpm.be,$D14,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4" s="41">
        <f t="shared" ca="1" si="0"/>
        <v>0.70833333333333337</v>
      </c>
      <c r="H14" s="40"/>
      <c r="I14" s="40"/>
      <c r="J14" s="42" t="str">
        <f ca="1">IF(OR($A14="",$G14="",$I14=""),"",
  _xlfn.LET(
    _xlpm.st,$G14,_xlpm.en,$I14,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4" s="19" t="s">
        <v>314</v>
      </c>
      <c r="L14" s="19" t="s">
        <v>316</v>
      </c>
      <c r="M14" s="19" t="s">
        <v>321</v>
      </c>
      <c r="N14" s="100">
        <f t="shared" ca="1" si="1"/>
        <v>0</v>
      </c>
      <c r="O14" s="86"/>
      <c r="P14" s="79"/>
      <c r="Q14" s="80"/>
      <c r="R14" s="79"/>
      <c r="T14" s="14"/>
      <c r="U14" s="22" t="str" cm="1">
        <f t="array" ref="U14">IF(T14="","",
 _xlfn.LET(
  _xlpm.h,
   IF(ISTEXT(staffsettings!$V$2),
      IFERROR(TIMEVALUE(staffsettings!$V$2)*24,0),
      IF(staffsettings!$V$2&lt;1,staffsettings!$V$2*24,staffsettings!$V$2)
   ),
  _xlpm.wdH,
   IF(_xlpm.h&lt;=0,"",
     ROUND(SUMPRODUCT(
       ($A$3:$A$33&lt;&gt;"")*($M$3:$M$33="WD")*
       MAX(0,
         ($E$3:$E$33-$B$3:$B$33)-
         IF(
           ($C$3:$D$33&lt;&gt;"")*(($E$3:$E$33&gt;$C$3:$C$33)),
           MAX(0,MIN($E$3:$E$33,$D$3:$D$33)-MAX($B$3:$B$3,$C$3:$C$33)),
           0
         )
       )
     )*24,2)
   ),
  _xlpm.wdiH,
   IF(_xlpm.h&lt;=0,"",
     ROUND(SUMPRODUCT(
       ($A$3:$A$33&lt;&gt;"")*($M$3:$M$33="WDI")*
       MAX(0,
         ($E$3:$E$33-$B$3:$B$33)-
         IF(
           ($C$3:$D$33&lt;&gt;"")*(($E$3:$E$33&gt;$C$3:$C$33)),
           MAX(0,MIN($E$3:$E$33,$D$3:$D$33)-MAX($B$3:$B$3,$C$3:$C$33)),
           0
         )
       )
     )*24,2)
   ),
  _xlpm.label, T14,
  _xlpm.val,
   IF(_xlpm.label="Work Hours",_xlpm.wdH,
    IF(_xlpm.label="Work Days",IF(_xlpm.wdH="","",ROUND(_xlpm.wdH/_xlpm.h,2)),
     IF(_xlpm.label="Work Hours - Indoor",_xlpm.wdiH,
      IF(_xlpm.label="Work Days - Indoor",IF(_xlpm.wdiH="","",ROUND(_xlpm.wdiH/_xlpm.h,2)),"")
     )
    )
   ),
  IF(OR(_xlpm.val="",_xlpm.val=0),"",_xlpm.val)
 )
)</f>
        <v/>
      </c>
      <c r="V14" s="64" t="str">
        <f>IF(U14="","",
 _xlfn.LET(
   _xlpm.lbl, T14,
   _xlpm.ps, IFERROR(
         INDEX(staffsettings!$T$2:$T$20,
               MATCH(_xlpm.lbl,staffsettings!$S$2:$S$20,0)
         ),
         ""
       ),
   _xlpm.rate, IF(_xlpm.ps="WD",$F$40,
           IF(_xlpm.ps="WDI",$F$44,0)
   ),
   U14*_xlpm.rate
 )
)</f>
        <v/>
      </c>
      <c r="W14" s="14"/>
      <c r="Y14" s="37"/>
    </row>
    <row r="15" spans="1:25" x14ac:dyDescent="0.25">
      <c r="A15" s="10" cm="1">
        <f t="array" aca="1" ref="A15" ca="1">_xlfn.LET(
  _xlpm.yr, VALUE(companysettings!$N$2),
  _xlpm.mn, IFERROR(VALUE(MID(CELL("filename",A14),FIND("]",CELL("filename",A14))+1,2)),$H$2),
  IF(OR(_xlpm.yr="",_xlpm.mn=""),"",
     IF(ROW()-2&gt;DAY(EOMONTH(DATE(_xlpm.yr,_xlpm.mn,1),0)),"",DATE(_xlpm.yr,_xlpm.mn,ROW()-2))
  )
)</f>
        <v>44907</v>
      </c>
      <c r="B15" s="40">
        <f t="shared" si="2"/>
        <v>0.33333333333333331</v>
      </c>
      <c r="C15" s="41">
        <f ca="1">IF($A15="","",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5" s="41">
        <f ca="1">IF($A15="","",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5" s="40">
        <f t="shared" si="3"/>
        <v>0.70833333333333337</v>
      </c>
      <c r="F15" s="41">
        <f ca="1">IF($A15="","",
 _xlfn.LET(
  _xlpm.d,$A15,
  _xlpm.ti,$B15, _xlpm.eo,$E15, _xlpm.bs,$C15, _xlpm.be,$D15,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15" s="41">
        <f t="shared" ca="1" si="0"/>
        <v>0.70833333333333337</v>
      </c>
      <c r="H15" s="40"/>
      <c r="I15" s="40"/>
      <c r="J15" s="42" t="str">
        <f ca="1">IF(OR($A15="",$G15="",$I15=""),"",
  _xlfn.LET(
    _xlpm.st,$G15,_xlpm.en,$I15,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5" s="19" t="s">
        <v>314</v>
      </c>
      <c r="L15" s="19" t="s">
        <v>316</v>
      </c>
      <c r="M15" s="19" t="s">
        <v>321</v>
      </c>
      <c r="N15" s="100">
        <f t="shared" ca="1" si="1"/>
        <v>0</v>
      </c>
      <c r="O15" s="23"/>
      <c r="P15" s="79"/>
      <c r="Q15" s="80"/>
      <c r="R15" s="79"/>
      <c r="T15" s="18" t="s">
        <v>301</v>
      </c>
      <c r="V15" s="93" t="e" vm="2">
        <f>IF(AND($U$11="",$U$13=""),"",
 (IF($U$11="",0,$U$12*$F$40)) +
 (IF($U$13="",0,$U$14*$F$44))
)</f>
        <v>#VALUE!</v>
      </c>
      <c r="W15" s="18"/>
      <c r="Y15" s="37"/>
    </row>
    <row r="16" spans="1:25" x14ac:dyDescent="0.25">
      <c r="A16" s="10" cm="1">
        <f t="array" aca="1" ref="A16" ca="1">_xlfn.LET(
  _xlpm.yr, VALUE(companysettings!$N$2),
  _xlpm.mn, IFERROR(VALUE(MID(CELL("filename",A15),FIND("]",CELL("filename",A15))+1,2)),$H$2),
  IF(OR(_xlpm.yr="",_xlpm.mn=""),"",
     IF(ROW()-2&gt;DAY(EOMONTH(DATE(_xlpm.yr,_xlpm.mn,1),0)),"",DATE(_xlpm.yr,_xlpm.mn,ROW()-2))
  )
)</f>
        <v>44908</v>
      </c>
      <c r="B16" s="40">
        <f t="shared" si="2"/>
        <v>0.33333333333333331</v>
      </c>
      <c r="C16" s="41">
        <f ca="1">IF($A16="","",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6" s="41">
        <f ca="1">IF($A16="","",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6" s="40">
        <f t="shared" si="3"/>
        <v>0.70833333333333337</v>
      </c>
      <c r="F16" s="41">
        <f ca="1">IF($A16="","",
 _xlfn.LET(
  _xlpm.d,$A16,
  _xlpm.ti,$B16, _xlpm.eo,$E16, _xlpm.bs,$C16, _xlpm.be,$D16,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6.2499999999999889E-2</v>
      </c>
      <c r="G16" s="41">
        <f t="shared" ca="1" si="0"/>
        <v>0.70833333333333337</v>
      </c>
      <c r="H16" s="40"/>
      <c r="I16" s="40"/>
      <c r="J16" s="42" t="str">
        <f ca="1">IF(OR($A16="",$G16="",$I16=""),"",
  _xlfn.LET(
    _xlpm.st,$G16,_xlpm.en,$I16,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6" s="19" t="s">
        <v>314</v>
      </c>
      <c r="L16" s="19" t="s">
        <v>316</v>
      </c>
      <c r="M16" s="19" t="s">
        <v>321</v>
      </c>
      <c r="N16" s="100">
        <f t="shared" ca="1" si="1"/>
        <v>6.2499999999999889E-2</v>
      </c>
      <c r="O16" s="23"/>
      <c r="P16" s="79"/>
      <c r="Q16" s="80"/>
      <c r="R16" s="79"/>
      <c r="T16" s="14"/>
      <c r="V16" s="64"/>
      <c r="W16" s="14"/>
      <c r="Y16" s="37"/>
    </row>
    <row r="17" spans="1:25" x14ac:dyDescent="0.25">
      <c r="A17" s="10" cm="1">
        <f t="array" aca="1" ref="A17" ca="1">_xlfn.LET(
  _xlpm.yr, VALUE(companysettings!$N$2),
  _xlpm.mn, IFERROR(VALUE(MID(CELL("filename",A16),FIND("]",CELL("filename",A16))+1,2)),$H$2),
  IF(OR(_xlpm.yr="",_xlpm.mn=""),"",
     IF(ROW()-2&gt;DAY(EOMONTH(DATE(_xlpm.yr,_xlpm.mn,1),0)),"",DATE(_xlpm.yr,_xlpm.mn,ROW()-2))
  )
)</f>
        <v>44909</v>
      </c>
      <c r="B17" s="40"/>
      <c r="C17" s="41">
        <f ca="1">IF($A17="","",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7" s="41">
        <f ca="1">IF($A17="","",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7" s="40">
        <f t="shared" si="3"/>
        <v>0.70833333333333337</v>
      </c>
      <c r="F17" s="41">
        <f ca="1">IF($A17="","",
 _xlfn.LET(
  _xlpm.d,$A17,
  _xlpm.ti,$B17, _xlpm.eo,$E17, _xlpm.bs,$C17, _xlpm.be,$D17,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7" s="41">
        <f t="shared" ca="1" si="0"/>
        <v>0.70833333333333337</v>
      </c>
      <c r="H17" s="40"/>
      <c r="I17" s="40"/>
      <c r="J17" s="42" t="str">
        <f ca="1">IF(OR($A17="",$G17="",$I17=""),"",
  _xlfn.LET(
    _xlpm.st,$G17,_xlpm.en,$I17,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7" s="19" t="s">
        <v>314</v>
      </c>
      <c r="L17" s="19" t="s">
        <v>316</v>
      </c>
      <c r="M17" s="19" t="s">
        <v>321</v>
      </c>
      <c r="N17" s="100">
        <f t="shared" ca="1" si="1"/>
        <v>0.39583333333333331</v>
      </c>
      <c r="O17" s="23"/>
      <c r="P17" s="79"/>
      <c r="Q17" s="80"/>
      <c r="R17" s="79"/>
      <c r="T17" s="18" t="s">
        <v>303</v>
      </c>
      <c r="U17" s="34" t="s">
        <v>256</v>
      </c>
      <c r="V17" s="64"/>
      <c r="W17" s="18"/>
      <c r="Y17" s="37"/>
    </row>
    <row r="18" spans="1:25" x14ac:dyDescent="0.25">
      <c r="A18" s="10" cm="1">
        <f t="array" aca="1" ref="A18" ca="1">_xlfn.LET(
  _xlpm.yr, VALUE(companysettings!$N$2),
  _xlpm.mn, IFERROR(VALUE(MID(CELL("filename",A17),FIND("]",CELL("filename",A17))+1,2)),$H$2),
  IF(OR(_xlpm.yr="",_xlpm.mn=""),"",
     IF(ROW()-2&gt;DAY(EOMONTH(DATE(_xlpm.yr,_xlpm.mn,1),0)),"",DATE(_xlpm.yr,_xlpm.mn,ROW()-2))
  )
)</f>
        <v>44910</v>
      </c>
      <c r="B18" s="40"/>
      <c r="C18" s="41">
        <f ca="1">IF($A18="","",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8" s="41">
        <f ca="1">IF($A18="","",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8" s="40">
        <f t="shared" si="3"/>
        <v>0.70833333333333337</v>
      </c>
      <c r="F18" s="41">
        <f ca="1">IF($A18="","",
 _xlfn.LET(
  _xlpm.d,$A18,
  _xlpm.ti,$B18, _xlpm.eo,$E18, _xlpm.bs,$C18, _xlpm.be,$D18,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8" s="41">
        <f t="shared" ca="1" si="0"/>
        <v>0.70833333333333337</v>
      </c>
      <c r="H18" s="40"/>
      <c r="I18" s="40"/>
      <c r="J18" s="42" t="str">
        <f ca="1">IF(OR($A18="",$G18="",$I18=""),"",
  _xlfn.LET(
    _xlpm.st,$G18,_xlpm.en,$I18,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8" s="19" t="s">
        <v>314</v>
      </c>
      <c r="L18" s="19" t="s">
        <v>316</v>
      </c>
      <c r="M18" s="19" t="s">
        <v>321</v>
      </c>
      <c r="N18" s="100">
        <f t="shared" ca="1" si="1"/>
        <v>0.39583333333333331</v>
      </c>
      <c r="O18" s="23"/>
      <c r="P18" s="79"/>
      <c r="Q18" s="80"/>
      <c r="R18" s="79"/>
      <c r="T18" s="14" t="str" cm="1">
        <f t="array" ref="T18:T22">IF(COUNTA($L$3:$L$33)=0,"",
 _xlfn.LET(
   _xlpm.codes,_xlfn.UNIQUE(_xlfn._xlws.FILTER($L$3:$L$33,$L$3:$L$33&lt;&gt;"")),
   _xlpm.idx,MATCH(_xlpm.codes,staffsettings!$AN$2:$AN$6,0),
   _xlpm.names,INDEX(staffsettings!$AM$2:$AM$6,_xlpm.idx),
   _xlpm.prior,INDEX(staffsettings!$AL$2:$AL$6,_xlpm.idx),
   _xlpm.sorted,_xlfn._xlws.SORT(CHOOSE({1,2},_xlpm.names,_xlpm.prior),2,TRUE),
   INDEX(_xlpm.sorted,,1)
 )
)</f>
        <v>Default</v>
      </c>
      <c r="U18" s="1">
        <f ca="1">IF(T18="","",
 _xlfn.LET(
   _xlpm.nm,T18,
   _xlpm.code,INDEX(staffsettings!$AN$2:$AN$6,
              MATCH(_xlpm.nm,staffsettings!$AM$2:$AM$6,0)),
   SUMIFS($J$3:$J$33,$L$3:$L$33,_xlpm.code)
 )
)</f>
        <v>3.5999999999999965</v>
      </c>
      <c r="V18" s="64" cm="1">
        <f t="array" aca="1" ref="V18" ca="1">IF(T18="","",
 _xlfn.LET(
  _xlpm.nm,T18,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42.63</v>
      </c>
      <c r="W18" s="18"/>
      <c r="Y18" s="37"/>
    </row>
    <row r="19" spans="1:25" x14ac:dyDescent="0.25">
      <c r="A19" s="10" cm="1">
        <f t="array" aca="1" ref="A19" ca="1">_xlfn.LET(
  _xlpm.yr, VALUE(companysettings!$N$2),
  _xlpm.mn, IFERROR(VALUE(MID(CELL("filename",A18),FIND("]",CELL("filename",A18))+1,2)),$H$2),
  IF(OR(_xlpm.yr="",_xlpm.mn=""),"",
     IF(ROW()-2&gt;DAY(EOMONTH(DATE(_xlpm.yr,_xlpm.mn,1),0)),"",DATE(_xlpm.yr,_xlpm.mn,ROW()-2))
  )
)</f>
        <v>44911</v>
      </c>
      <c r="B19" s="40"/>
      <c r="C19" s="41">
        <f ca="1">IF($A19="","",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19" s="41">
        <f ca="1">IF($A19="","",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19" s="40">
        <f t="shared" si="3"/>
        <v>0.70833333333333337</v>
      </c>
      <c r="F19" s="41">
        <f ca="1">IF($A19="","",
 _xlfn.LET(
  _xlpm.d,$A19,
  _xlpm.ti,$B19, _xlpm.eo,$E19, _xlpm.bs,$C19, _xlpm.be,$D19,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_xlpm.st,UPPER(TRIM($K19)),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19" s="41">
        <f t="shared" ca="1" si="0"/>
        <v>0.70833333333333337</v>
      </c>
      <c r="H19" s="40"/>
      <c r="I19" s="40"/>
      <c r="J19" s="42" t="str">
        <f ca="1">IF(OR($A19="",$G19="",$I19=""),"",
  _xlfn.LET(
    _xlpm.st,$G19,_xlpm.en,$I19,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19" s="19" t="s">
        <v>314</v>
      </c>
      <c r="L19" s="19" t="s">
        <v>316</v>
      </c>
      <c r="M19" s="19" t="s">
        <v>321</v>
      </c>
      <c r="N19" s="100">
        <f t="shared" ca="1" si="1"/>
        <v>0.39583333333333331</v>
      </c>
      <c r="O19" s="23"/>
      <c r="P19" s="79"/>
      <c r="Q19" s="80"/>
      <c r="R19" s="79"/>
      <c r="T19" s="14" t="str">
        <v>Rest Day</v>
      </c>
      <c r="U19" s="1">
        <f ca="1">IF(T19="","",
 _xlfn.LET(
   _xlpm.nm,T19,
   _xlpm.code,INDEX(staffsettings!$AN$2:$AN$6,
              MATCH(_xlpm.nm,staffsettings!$AM$2:$AM$6,0)),
   SUMIFS($J$3:$J$33,$L$3:$L$33,_xlpm.code)
 )
)</f>
        <v>3.5999999999999965</v>
      </c>
      <c r="V19" s="64" cm="1">
        <f t="array" aca="1" ref="V19" ca="1">IF(T19="","",
 _xlfn.LET(
  _xlpm.nm,T19,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53.05</v>
      </c>
      <c r="W19" s="18"/>
      <c r="Y19" s="37"/>
    </row>
    <row r="20" spans="1:25" x14ac:dyDescent="0.25">
      <c r="A20" s="10" cm="1">
        <f t="array" aca="1" ref="A20" ca="1">_xlfn.LET(
  _xlpm.yr, VALUE(companysettings!$N$2),
  _xlpm.mn, IFERROR(VALUE(MID(CELL("filename",A19),FIND("]",CELL("filename",A19))+1,2)),$H$2),
  IF(OR(_xlpm.yr="",_xlpm.mn=""),"",
     IF(ROW()-2&gt;DAY(EOMONTH(DATE(_xlpm.yr,_xlpm.mn,1),0)),"",DATE(_xlpm.yr,_xlpm.mn,ROW()-2))
  )
)</f>
        <v>44912</v>
      </c>
      <c r="B20" s="40"/>
      <c r="C20" s="41">
        <f ca="1">IF($A20="","",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0" s="41">
        <f ca="1">IF($A20="","",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0" s="40">
        <f t="shared" si="3"/>
        <v>0.70833333333333337</v>
      </c>
      <c r="F20" s="41">
        <f ca="1">IF($A20="","",
 _xlfn.LET(
  _xlpm.d,$A20,
  _xlpm.ti,$B20, _xlpm.eo,$E20, _xlpm.bs,$C20, _xlpm.be,$D20,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0" s="41">
        <f t="shared" ca="1" si="0"/>
        <v>0.70833333333333337</v>
      </c>
      <c r="H20" s="40"/>
      <c r="I20" s="40"/>
      <c r="J20" s="42" t="str">
        <f ca="1">IF(OR($A20="",$G20="",$I20=""),"",
  _xlfn.LET(
    _xlpm.st,$G20,_xlpm.en,$I20,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0" s="19" t="s">
        <v>314</v>
      </c>
      <c r="L20" s="19" t="s">
        <v>316</v>
      </c>
      <c r="M20" s="19" t="s">
        <v>321</v>
      </c>
      <c r="N20" s="100">
        <f t="shared" ca="1" si="1"/>
        <v>0.39583333333333331</v>
      </c>
      <c r="O20" s="23"/>
      <c r="P20" s="79"/>
      <c r="Q20" s="80"/>
      <c r="R20" s="79"/>
      <c r="T20" s="14" t="str">
        <v>Public Holiday</v>
      </c>
      <c r="U20" s="1">
        <f ca="1">IF(T20="","",
 _xlfn.LET(
   _xlpm.nm,T20,
   _xlpm.code,INDEX(staffsettings!$AN$2:$AN$6,
              MATCH(_xlpm.nm,staffsettings!$AM$2:$AM$6,0)),
   SUMIFS($J$3:$J$33,$L$3:$L$33,_xlpm.code)
 )
)</f>
        <v>3.5999999999999965</v>
      </c>
      <c r="V20" s="64" cm="1">
        <f t="array" aca="1" ref="V20" ca="1">IF(T20="","",
 _xlfn.LET(
  _xlpm.nm,T20,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66.319999999999993</v>
      </c>
      <c r="W20" s="102" t="s">
        <v>257</v>
      </c>
      <c r="Y20" s="37"/>
    </row>
    <row r="21" spans="1:25" x14ac:dyDescent="0.25">
      <c r="A21" s="10" cm="1">
        <f t="array" aca="1" ref="A21" ca="1">_xlfn.LET(
  _xlpm.yr, VALUE(companysettings!$N$2),
  _xlpm.mn, IFERROR(VALUE(MID(CELL("filename",A20),FIND("]",CELL("filename",A20))+1,2)),$H$2),
  IF(OR(_xlpm.yr="",_xlpm.mn=""),"",
     IF(ROW()-2&gt;DAY(EOMONTH(DATE(_xlpm.yr,_xlpm.mn,1),0)),"",DATE(_xlpm.yr,_xlpm.mn,ROW()-2))
  )
)</f>
        <v>44913</v>
      </c>
      <c r="B21" s="40"/>
      <c r="C21" s="41">
        <f ca="1">IF($A21="","",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1" s="41">
        <f ca="1">IF($A21="","",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1" s="40">
        <f t="shared" si="3"/>
        <v>0.70833333333333337</v>
      </c>
      <c r="F21" s="41">
        <f ca="1">IF($A21="","",
 _xlfn.LET(
  _xlpm.d,$A21,
  _xlpm.ti,$B21, _xlpm.eo,$E21, _xlpm.bs,$C21, _xlpm.be,$D21,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1" s="41">
        <f t="shared" ca="1" si="0"/>
        <v>0.70833333333333337</v>
      </c>
      <c r="H21" s="40"/>
      <c r="I21" s="40"/>
      <c r="J21" s="42" t="str">
        <f ca="1">IF(OR($A21="",$G21="",$I21=""),"",
  _xlfn.LET(
    _xlpm.st,$G21,_xlpm.en,$I21,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1" s="19" t="s">
        <v>314</v>
      </c>
      <c r="L21" s="19" t="s">
        <v>316</v>
      </c>
      <c r="M21" s="19" t="s">
        <v>321</v>
      </c>
      <c r="N21" s="100">
        <f t="shared" ca="1" si="1"/>
        <v>0</v>
      </c>
      <c r="O21" s="23"/>
      <c r="P21" s="79"/>
      <c r="Q21" s="80"/>
      <c r="R21" s="79"/>
      <c r="T21" s="14" t="str">
        <v>PH on Rest Day</v>
      </c>
      <c r="U21" s="1">
        <f ca="1">IF(T21="","",
 _xlfn.LET(
   _xlpm.nm,T21,
   _xlpm.code,INDEX(staffsettings!$AN$2:$AN$6,
              MATCH(_xlpm.nm,staffsettings!$AM$2:$AM$6,0)),
   SUMIFS($J$3:$J$33,$L$3:$L$33,_xlpm.code)
 )
)</f>
        <v>3.5999999999999965</v>
      </c>
      <c r="V21" s="64" cm="1">
        <f t="array" aca="1" ref="V21" ca="1">IF(T21="","",
 _xlfn.LET(
  _xlpm.nm,T21,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79.58</v>
      </c>
      <c r="W21" s="14"/>
      <c r="Y21" s="37"/>
    </row>
    <row r="22" spans="1:25" x14ac:dyDescent="0.25">
      <c r="A22" s="10" cm="1">
        <f t="array" aca="1" ref="A22" ca="1">_xlfn.LET(
  _xlpm.yr, VALUE(companysettings!$N$2),
  _xlpm.mn, IFERROR(VALUE(MID(CELL("filename",A21),FIND("]",CELL("filename",A21))+1,2)),$H$2),
  IF(OR(_xlpm.yr="",_xlpm.mn=""),"",
     IF(ROW()-2&gt;DAY(EOMONTH(DATE(_xlpm.yr,_xlpm.mn,1),0)),"",DATE(_xlpm.yr,_xlpm.mn,ROW()-2))
  )
)</f>
        <v>44914</v>
      </c>
      <c r="B22" s="40"/>
      <c r="C22" s="41">
        <f ca="1">IF($A22="","",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2" s="41">
        <f ca="1">IF($A22="","",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2" s="40">
        <f t="shared" si="3"/>
        <v>0.70833333333333337</v>
      </c>
      <c r="F22" s="41">
        <f ca="1">IF($A22="","",
 _xlfn.LET(
  _xlpm.d,$A22,
  _xlpm.ti,$B22, _xlpm.eo,$E22, _xlpm.bs,$C22, _xlpm.be,$D22,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2" s="41">
        <f t="shared" ca="1" si="0"/>
        <v>0.70833333333333337</v>
      </c>
      <c r="H22" s="40"/>
      <c r="I22" s="40"/>
      <c r="J22" s="42" t="str">
        <f ca="1">IF(OR($A22="",$G22="",$I22=""),"",
  _xlfn.LET(
    _xlpm.st,$G22,_xlpm.en,$I22,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2" s="19" t="s">
        <v>314</v>
      </c>
      <c r="L22" s="19" t="s">
        <v>316</v>
      </c>
      <c r="M22" s="19" t="s">
        <v>321</v>
      </c>
      <c r="N22" s="100">
        <f t="shared" ca="1" si="1"/>
        <v>0</v>
      </c>
      <c r="O22" s="23"/>
      <c r="P22" s="79"/>
      <c r="Q22" s="80"/>
      <c r="R22" s="79"/>
      <c r="T22" s="14" t="str">
        <v>Special</v>
      </c>
      <c r="U22" s="1">
        <f ca="1">IF(T22="","",
 _xlfn.LET(
   _xlpm.nm,T22,
   _xlpm.code,INDEX(staffsettings!$AN$2:$AN$6,
              MATCH(_xlpm.nm,staffsettings!$AM$2:$AM$6,0)),
   SUMIFS($J$3:$J$33,$L$3:$L$33,_xlpm.code)
 )
)</f>
        <v>3.5999999999999965</v>
      </c>
      <c r="V22" s="64" cm="1">
        <f t="array" aca="1" ref="V22" ca="1">IF(T22="","",
 _xlfn.LET(
  _xlpm.nm,T22,
  _xlpm.code,INDEX(staffsettings!$AN$2:$AN$6,
             MATCH(_xlpm.nm,staffsettings!$AM$2:$AM$6,0)),
  _xlpm.hWD,IFERROR($F$40,0),
  _xlpm.hWDI,IFERROR($F$44,0),
  _xlpm.fac,IFERROR(INDEX(staffsettings!$AL$2:$AL$6,
                    MATCH(_xlpm.code,staffsettings!$AN$2:$AN$6,0)),1),
  ROUND(
    SUMPRODUCT(
      ($L$3:$L$33=_xlpm.code)*
      IF($J$3:$J$33="",0,$J$3:$J$33)*
      IF($M$3:$M$33="WDI",_xlpm.hWDI,_xlpm.hWD)*
      _xlpm.fac
    ),
  2)
 )
)</f>
        <v>106.11</v>
      </c>
      <c r="W22" s="14"/>
      <c r="Y22" s="37"/>
    </row>
    <row r="23" spans="1:25" x14ac:dyDescent="0.25">
      <c r="A23" s="10" cm="1">
        <f t="array" aca="1" ref="A23" ca="1">_xlfn.LET(
  _xlpm.yr, VALUE(companysettings!$N$2),
  _xlpm.mn, IFERROR(VALUE(MID(CELL("filename",A22),FIND("]",CELL("filename",A22))+1,2)),$H$2),
  IF(OR(_xlpm.yr="",_xlpm.mn=""),"",
     IF(ROW()-2&gt;DAY(EOMONTH(DATE(_xlpm.yr,_xlpm.mn,1),0)),"",DATE(_xlpm.yr,_xlpm.mn,ROW()-2))
  )
)</f>
        <v>44915</v>
      </c>
      <c r="B23" s="40"/>
      <c r="C23" s="41">
        <f ca="1">IF($A23="","",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3" s="41">
        <f ca="1">IF($A23="","",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3" s="40">
        <f t="shared" si="3"/>
        <v>0.70833333333333337</v>
      </c>
      <c r="F23" s="41">
        <f ca="1">IF($A23="","",
 _xlfn.LET(
  _xlpm.d,$A23,
  _xlpm.ti,$B23, _xlpm.eo,$E23, _xlpm.bs,$C23, _xlpm.be,$D23,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3" s="41">
        <f t="shared" ca="1" si="0"/>
        <v>0.70833333333333337</v>
      </c>
      <c r="H23" s="40"/>
      <c r="I23" s="40"/>
      <c r="J23" s="42" t="str">
        <f ca="1">IF(OR($A23="",$G23="",$I23=""),"",
  _xlfn.LET(
    _xlpm.st,$G23,_xlpm.en,$I23,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3" s="19" t="s">
        <v>314</v>
      </c>
      <c r="L23" s="19" t="s">
        <v>316</v>
      </c>
      <c r="M23" s="19" t="s">
        <v>321</v>
      </c>
      <c r="N23" s="100">
        <f t="shared" ca="1" si="1"/>
        <v>0.39583333333333331</v>
      </c>
      <c r="O23" s="23"/>
      <c r="P23" s="79"/>
      <c r="Q23" s="80"/>
      <c r="R23" s="79"/>
      <c r="T23" s="18"/>
      <c r="U23" s="1" t="str">
        <f>IF(T23="","",
 _xlfn.LET(
  _xlpm.nm,T23,
  _xlpm.code,IFERROR(
         INDEX(staffsettings!$AN$2:$AN$6,MATCH(_xlpm.nm,staffsettings!$AM$2:$AM$6,0)),
         INDEX(staffsettings!$AN$2:$AN$6,MATCH(_xlpm.nm,staffsettings!$AO$2:$AO$6,0))
       ),
  SUMIFS($J$3:$J$33,$L$3:$L$33,_xlpm.code)
 )
)</f>
        <v/>
      </c>
      <c r="V23" s="64"/>
      <c r="W23" s="14"/>
      <c r="Y23" s="37"/>
    </row>
    <row r="24" spans="1:25" x14ac:dyDescent="0.25">
      <c r="A24" s="10" cm="1">
        <f t="array" aca="1" ref="A24" ca="1">_xlfn.LET(
  _xlpm.yr, VALUE(companysettings!$N$2),
  _xlpm.mn, IFERROR(VALUE(MID(CELL("filename",A23),FIND("]",CELL("filename",A23))+1,2)),$H$2),
  IF(OR(_xlpm.yr="",_xlpm.mn=""),"",
     IF(ROW()-2&gt;DAY(EOMONTH(DATE(_xlpm.yr,_xlpm.mn,1),0)),"",DATE(_xlpm.yr,_xlpm.mn,ROW()-2))
  )
)</f>
        <v>44916</v>
      </c>
      <c r="B24" s="40"/>
      <c r="C24" s="41">
        <f ca="1">IF($A24="","",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4" s="41">
        <f ca="1">IF($A24="","",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4" s="40">
        <f t="shared" si="3"/>
        <v>0.70833333333333337</v>
      </c>
      <c r="F24" s="41">
        <f ca="1">IF($A24="","",
 _xlfn.LET(
  _xlpm.d,$A24,
  _xlpm.ti,$B24, _xlpm.eo,$E24, _xlpm.bs,$C24, _xlpm.be,$D24,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_xlpm.st,UPPER(TRIM($K24)),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4" s="41">
        <f t="shared" ca="1" si="0"/>
        <v>0.70833333333333337</v>
      </c>
      <c r="H24" s="40"/>
      <c r="I24" s="40"/>
      <c r="J24" s="42" t="str">
        <f ca="1">IF(OR($A24="",$G24="",$I24=""),"",
  _xlfn.LET(
    _xlpm.st,$G24,_xlpm.en,$I24,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4" s="19" t="s">
        <v>314</v>
      </c>
      <c r="L24" s="19" t="s">
        <v>316</v>
      </c>
      <c r="M24" s="19" t="s">
        <v>321</v>
      </c>
      <c r="N24" s="100">
        <f t="shared" ca="1" si="1"/>
        <v>0.39583333333333331</v>
      </c>
      <c r="O24" s="23"/>
      <c r="P24" s="79"/>
      <c r="Q24" s="80"/>
      <c r="R24" s="79"/>
      <c r="T24" s="18"/>
      <c r="V24" s="64"/>
      <c r="W24" s="14"/>
      <c r="Y24" s="37"/>
    </row>
    <row r="25" spans="1:25" x14ac:dyDescent="0.25">
      <c r="A25" s="10" cm="1">
        <f t="array" aca="1" ref="A25" ca="1">_xlfn.LET(
  _xlpm.yr, VALUE(companysettings!$N$2),
  _xlpm.mn, IFERROR(VALUE(MID(CELL("filename",A24),FIND("]",CELL("filename",A24))+1,2)),$H$2),
  IF(OR(_xlpm.yr="",_xlpm.mn=""),"",
     IF(ROW()-2&gt;DAY(EOMONTH(DATE(_xlpm.yr,_xlpm.mn,1),0)),"",DATE(_xlpm.yr,_xlpm.mn,ROW()-2))
  )
)</f>
        <v>44917</v>
      </c>
      <c r="B25" s="40"/>
      <c r="C25" s="41">
        <f ca="1">IF($A25="","",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5" s="41">
        <f ca="1">IF($A25="","",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5" s="40">
        <f t="shared" si="3"/>
        <v>0.70833333333333337</v>
      </c>
      <c r="F25" s="41">
        <f ca="1">IF($A25="","",
 _xlfn.LET(
  _xlpm.d,$A25,
  _xlpm.ti,$B25, _xlpm.eo,$E25, _xlpm.bs,$C25, _xlpm.be,$D25,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_xlpm.st,UPPER(TRIM($K25)),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5" s="41">
        <f t="shared" ca="1" si="0"/>
        <v>0.70833333333333337</v>
      </c>
      <c r="H25" s="40"/>
      <c r="I25" s="40"/>
      <c r="J25" s="42" t="str">
        <f ca="1">IF(OR($A25="",$G25="",$I25=""),"",
  _xlfn.LET(
    _xlpm.st,$G25,_xlpm.en,$I25,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5" s="19" t="s">
        <v>314</v>
      </c>
      <c r="L25" s="19" t="s">
        <v>316</v>
      </c>
      <c r="M25" s="19" t="s">
        <v>321</v>
      </c>
      <c r="N25" s="100">
        <f t="shared" ca="1" si="1"/>
        <v>0.39583333333333331</v>
      </c>
      <c r="O25" s="23"/>
      <c r="P25" s="79"/>
      <c r="Q25" s="80"/>
      <c r="R25" s="79"/>
      <c r="T25" s="18"/>
      <c r="V25" s="64"/>
      <c r="W25" s="14"/>
      <c r="Y25" s="37"/>
    </row>
    <row r="26" spans="1:25" x14ac:dyDescent="0.25">
      <c r="A26" s="10" cm="1">
        <f t="array" aca="1" ref="A26" ca="1">_xlfn.LET(
  _xlpm.yr, VALUE(companysettings!$N$2),
  _xlpm.mn, IFERROR(VALUE(MID(CELL("filename",A25),FIND("]",CELL("filename",A25))+1,2)),$H$2),
  IF(OR(_xlpm.yr="",_xlpm.mn=""),"",
     IF(ROW()-2&gt;DAY(EOMONTH(DATE(_xlpm.yr,_xlpm.mn,1),0)),"",DATE(_xlpm.yr,_xlpm.mn,ROW()-2))
  )
)</f>
        <v>44918</v>
      </c>
      <c r="B26" s="40"/>
      <c r="C26" s="41">
        <f ca="1">IF($A26="","",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6" s="41">
        <f ca="1">IF($A26="","",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6" s="40">
        <f t="shared" si="3"/>
        <v>0.70833333333333337</v>
      </c>
      <c r="F26" s="41">
        <f ca="1">IF($A26="","",
 _xlfn.LET(
  _xlpm.d,$A26,
  _xlpm.ti,$B26, _xlpm.eo,$E26, _xlpm.bs,$C26, _xlpm.be,$D26,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_xlpm.st,UPPER(TRIM($K26)),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6" s="41">
        <f t="shared" ca="1" si="0"/>
        <v>0.70833333333333337</v>
      </c>
      <c r="H26" s="40"/>
      <c r="I26" s="40"/>
      <c r="J26" s="42" t="str">
        <f ca="1">IF(OR($A26="",$G26="",$I26=""),"",
  _xlfn.LET(
    _xlpm.st,$G26,_xlpm.en,$I26,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6" s="19" t="s">
        <v>314</v>
      </c>
      <c r="L26" s="19" t="s">
        <v>316</v>
      </c>
      <c r="M26" s="19" t="s">
        <v>321</v>
      </c>
      <c r="N26" s="100">
        <f t="shared" ca="1" si="1"/>
        <v>0.39583333333333331</v>
      </c>
      <c r="O26" s="23"/>
      <c r="P26" s="79"/>
      <c r="Q26" s="80"/>
      <c r="R26" s="79"/>
      <c r="T26" s="18"/>
      <c r="V26" s="64"/>
      <c r="W26" s="14"/>
      <c r="Y26" s="37"/>
    </row>
    <row r="27" spans="1:25" x14ac:dyDescent="0.25">
      <c r="A27" s="10" cm="1">
        <f t="array" aca="1" ref="A27" ca="1">_xlfn.LET(
  _xlpm.yr, VALUE(companysettings!$N$2),
  _xlpm.mn, IFERROR(VALUE(MID(CELL("filename",A26),FIND("]",CELL("filename",A26))+1,2)),$H$2),
  IF(OR(_xlpm.yr="",_xlpm.mn=""),"",
     IF(ROW()-2&gt;DAY(EOMONTH(DATE(_xlpm.yr,_xlpm.mn,1),0)),"",DATE(_xlpm.yr,_xlpm.mn,ROW()-2))
  )
)</f>
        <v>44919</v>
      </c>
      <c r="B27" s="40"/>
      <c r="C27" s="41">
        <f ca="1">IF($A27="","",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7" s="41">
        <f ca="1">IF($A27="","",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7" s="40">
        <f t="shared" si="3"/>
        <v>0.70833333333333337</v>
      </c>
      <c r="F27" s="41">
        <f ca="1">IF($A27="","",
 _xlfn.LET(
  _xlpm.d,$A27,
  _xlpm.ti,$B27, _xlpm.eo,$E27, _xlpm.bs,$C27, _xlpm.be,$D27,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_xlpm.st,UPPER(TRIM($K27)),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27" s="41">
        <f t="shared" ca="1" si="0"/>
        <v>0.70833333333333337</v>
      </c>
      <c r="H27" s="40"/>
      <c r="I27" s="40"/>
      <c r="J27" s="42" t="str">
        <f ca="1">IF(OR($A27="",$G27="",$I27=""),"",
  _xlfn.LET(
    _xlpm.st,$G27,_xlpm.en,$I27,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7" s="19" t="s">
        <v>314</v>
      </c>
      <c r="L27" s="19" t="s">
        <v>316</v>
      </c>
      <c r="M27" s="19" t="s">
        <v>321</v>
      </c>
      <c r="N27" s="100">
        <f t="shared" ca="1" si="1"/>
        <v>0.39583333333333331</v>
      </c>
      <c r="O27" s="23"/>
      <c r="P27" s="79"/>
      <c r="Q27" s="80"/>
      <c r="R27" s="79"/>
      <c r="T27" s="18"/>
      <c r="V27" s="64"/>
      <c r="W27" s="14"/>
      <c r="Y27" s="37"/>
    </row>
    <row r="28" spans="1:25" x14ac:dyDescent="0.25">
      <c r="A28" s="10" cm="1">
        <f t="array" aca="1" ref="A28" ca="1">_xlfn.LET(
  _xlpm.yr, VALUE(companysettings!$N$2),
  _xlpm.mn, IFERROR(VALUE(MID(CELL("filename",A27),FIND("]",CELL("filename",A27))+1,2)),$H$2),
  IF(OR(_xlpm.yr="",_xlpm.mn=""),"",
     IF(ROW()-2&gt;DAY(EOMONTH(DATE(_xlpm.yr,_xlpm.mn,1),0)),"",DATE(_xlpm.yr,_xlpm.mn,ROW()-2))
  )
)</f>
        <v>44920</v>
      </c>
      <c r="B28" s="40"/>
      <c r="C28" s="41">
        <f ca="1">IF($A28="","",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8" s="41">
        <f ca="1">IF($A28="","",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8" s="40">
        <f t="shared" si="3"/>
        <v>0.70833333333333337</v>
      </c>
      <c r="F28" s="41">
        <f ca="1">IF($A28="","",
 _xlfn.LET(
  _xlpm.d,$A28,
  _xlpm.ti,$B28, _xlpm.eo,$E28, _xlpm.bs,$C28, _xlpm.be,$D28,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_xlpm.st,UPPER(TRIM($K28)),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8" s="41">
        <f t="shared" ca="1" si="0"/>
        <v>0.70833333333333337</v>
      </c>
      <c r="H28" s="40"/>
      <c r="I28" s="40"/>
      <c r="J28" s="42" t="str">
        <f ca="1">IF(OR($A28="",$G28="",$I28=""),"",
  _xlfn.LET(
    _xlpm.st,$G28,_xlpm.en,$I28,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8" s="19" t="s">
        <v>314</v>
      </c>
      <c r="L28" s="19" t="s">
        <v>316</v>
      </c>
      <c r="M28" s="19" t="s">
        <v>321</v>
      </c>
      <c r="N28" s="100">
        <f t="shared" ca="1" si="1"/>
        <v>0</v>
      </c>
      <c r="O28" s="23"/>
      <c r="P28" s="79"/>
      <c r="Q28" s="80"/>
      <c r="R28" s="79"/>
      <c r="T28" s="36" t="s">
        <v>304</v>
      </c>
      <c r="U28" s="16"/>
      <c r="V28" s="16"/>
      <c r="W28" s="15"/>
      <c r="X28" s="16"/>
      <c r="Y28" s="90"/>
    </row>
    <row r="29" spans="1:25" x14ac:dyDescent="0.25">
      <c r="A29" s="10" cm="1">
        <f t="array" aca="1" ref="A29" ca="1">_xlfn.LET(
  _xlpm.yr, VALUE(companysettings!$N$2),
  _xlpm.mn, IFERROR(VALUE(MID(CELL("filename",A28),FIND("]",CELL("filename",A28))+1,2)),$H$2),
  IF(OR(_xlpm.yr="",_xlpm.mn=""),"",
     IF(ROW()-2&gt;DAY(EOMONTH(DATE(_xlpm.yr,_xlpm.mn,1),0)),"",DATE(_xlpm.yr,_xlpm.mn,ROW()-2))
  )
)</f>
        <v>44921</v>
      </c>
      <c r="B29" s="40"/>
      <c r="C29" s="41">
        <f ca="1">IF($A29="","",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29" s="41">
        <f ca="1">IF($A29="","",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29" s="40">
        <f t="shared" si="3"/>
        <v>0.70833333333333337</v>
      </c>
      <c r="F29" s="41">
        <f ca="1">IF($A29="","",
 _xlfn.LET(
  _xlpm.d,$A29,
  _xlpm.ti,$B29, _xlpm.eo,$E29, _xlpm.bs,$C29, _xlpm.be,$D29,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_xlpm.st,UPPER(TRIM($K29)),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29" s="41">
        <f t="shared" ca="1" si="0"/>
        <v>0.70833333333333337</v>
      </c>
      <c r="H29" s="40"/>
      <c r="I29" s="40"/>
      <c r="J29" s="42" t="str">
        <f ca="1">IF(OR($A29="",$G29="",$I29=""),"",
  _xlfn.LET(
    _xlpm.st,$G29,_xlpm.en,$I29,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29" s="19" t="s">
        <v>314</v>
      </c>
      <c r="L29" s="19" t="s">
        <v>316</v>
      </c>
      <c r="M29" s="19" t="s">
        <v>320</v>
      </c>
      <c r="N29" s="100">
        <f t="shared" ca="1" si="1"/>
        <v>0</v>
      </c>
      <c r="O29" s="23"/>
      <c r="P29" s="79"/>
      <c r="Q29" s="80"/>
      <c r="R29" s="79"/>
    </row>
    <row r="30" spans="1:25" x14ac:dyDescent="0.25">
      <c r="A30" s="10" cm="1">
        <f t="array" aca="1" ref="A30" ca="1">_xlfn.LET(
  _xlpm.yr, VALUE(companysettings!$N$2),
  _xlpm.mn, IFERROR(VALUE(MID(CELL("filename",A29),FIND("]",CELL("filename",A29))+1,2)),$H$2),
  IF(OR(_xlpm.yr="",_xlpm.mn=""),"",
     IF(ROW()-2&gt;DAY(EOMONTH(DATE(_xlpm.yr,_xlpm.mn,1),0)),"",DATE(_xlpm.yr,_xlpm.mn,ROW()-2))
  )
)</f>
        <v>44922</v>
      </c>
      <c r="B30" s="40"/>
      <c r="C30" s="41">
        <f ca="1">IF($A30="","",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0" s="41">
        <f ca="1">IF($A30="","",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0" s="40">
        <f t="shared" si="3"/>
        <v>0.70833333333333337</v>
      </c>
      <c r="F30" s="41">
        <f ca="1">IF($A30="","",
 _xlfn.LET(
  _xlpm.d,$A30,
  _xlpm.ti,$B30, _xlpm.eo,$E30, _xlpm.bs,$C30, _xlpm.be,$D30,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_xlpm.st,UPPER(TRIM($K30)),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</v>
      </c>
      <c r="G30" s="41">
        <f t="shared" ca="1" si="0"/>
        <v>0.70833333333333337</v>
      </c>
      <c r="H30" s="40"/>
      <c r="I30" s="40"/>
      <c r="J30" s="42" t="str">
        <f ca="1">IF(OR($A30="",$G30="",$I30=""),"",
  _xlfn.LET(
    _xlpm.st,$G30,_xlpm.en,$I30,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0" s="19" t="s">
        <v>308</v>
      </c>
      <c r="L30" s="19" t="s">
        <v>316</v>
      </c>
      <c r="M30" s="19" t="s">
        <v>321</v>
      </c>
      <c r="N30" s="100">
        <f t="shared" ca="1" si="1"/>
        <v>0</v>
      </c>
      <c r="O30" s="23"/>
      <c r="P30" s="79"/>
      <c r="Q30" s="80"/>
      <c r="R30" s="79"/>
      <c r="T30" s="12"/>
      <c r="U30" s="13"/>
      <c r="V30" s="13"/>
      <c r="W30" s="35" t="str" cm="1">
        <f t="array" aca="1" ref="W30:W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_xlfn._xlws.FILTER(_xlpm.lbl, _xlpm.val&lt;&gt;"")
)</f>
        <v>Full Name</v>
      </c>
      <c r="X30" s="13"/>
      <c r="Y30" s="26" t="str" cm="1">
        <f t="array" aca="1" ref="Y30:Y31" ca="1">_xlfn.LET(
 _xlpm.lbl, {"Full Name";"Staff ID";"IC/Passport";"Join Date";"Department";"Designation";"Bank Name";"Bank Account";"Annual Leave Balance (days)"},
 _xlpm.vA, _xlfn.XLOOKUP(_xlpm.lbl, staffsettings!$A:$A, staffsettings!$B:$B, ""),
 _xlpm.vD, _xlfn.XLOOKUP(_xlpm.lbl, staffsettings!$D:$D, staffsettings!$E:$E, ""),
 _xlpm.vG, _xlfn.XLOOKUP(_xlpm.lbl, staffsettings!$G:$G, staffsettings!$H:$H, ""),
 _xlpm.vJ, _xlfn.XLOOKUP(_xlpm.lbl, staffsettings!$J:$J, staffsettings!$K:$K, ""),
 _xlpm.val, IF(_xlpm.vA&lt;&gt;"",_xlpm.vA,IF(_xlpm.vD&lt;&gt;"",_xlpm.vD,IF(_xlpm.vG&lt;&gt;"",_xlpm.vG,_xlpm.vJ))),
 _xlpm.disp, IF(_xlpm.lbl="Bank Account", IF(_xlpm.val="","", IF(ISTEXT(_xlpm.val), _xlpm.val, TEXT(_xlpm.val, REPT("0",12)))), _xlpm.val),
 _xlfn._xlws.FILTER(_xlpm.disp, _xlpm.val&lt;&gt;"")
)</f>
        <v>MOHD AZLIN NASUTION BIN ABDUL AZIZ</v>
      </c>
    </row>
    <row r="31" spans="1:25" x14ac:dyDescent="0.25">
      <c r="A31" s="10" cm="1">
        <f t="array" aca="1" ref="A31" ca="1">_xlfn.LET(
  _xlpm.yr, VALUE(companysettings!$N$2),
  _xlpm.mn, IFERROR(VALUE(MID(CELL("filename",A30),FIND("]",CELL("filename",A30))+1,2)),$H$2),
  IF(OR(_xlpm.yr="",_xlpm.mn=""),"",
     IF(ROW()-2&gt;DAY(EOMONTH(DATE(_xlpm.yr,_xlpm.mn,1),0)),"",DATE(_xlpm.yr,_xlpm.mn,ROW()-2))
  )
)</f>
        <v>44923</v>
      </c>
      <c r="B31" s="40"/>
      <c r="C31" s="41">
        <f ca="1">IF($A31="","",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1" s="41">
        <f ca="1">IF($A31="","",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1" s="40">
        <f t="shared" si="3"/>
        <v>0.70833333333333337</v>
      </c>
      <c r="F31" s="41">
        <f ca="1">IF($A31="","",
 _xlfn.LET(
  _xlpm.d,$A31,
  _xlpm.ti,$B31, _xlpm.eo,$E31, _xlpm.bs,$C31, _xlpm.be,$D31,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_xlpm.st,UPPER(TRIM($K31)),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1" s="41">
        <f t="shared" ca="1" si="0"/>
        <v>0.70833333333333337</v>
      </c>
      <c r="H31" s="40"/>
      <c r="I31" s="40"/>
      <c r="J31" s="42" t="str">
        <f ca="1">IF(OR($A31="",$G31="",$I31=""),"",
  _xlfn.LET(
    _xlpm.st,$G31,_xlpm.en,$I31,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1" s="19" t="s">
        <v>314</v>
      </c>
      <c r="L31" s="19" t="s">
        <v>316</v>
      </c>
      <c r="M31" s="19" t="s">
        <v>321</v>
      </c>
      <c r="N31" s="100">
        <f t="shared" ca="1" si="1"/>
        <v>0.39583333333333331</v>
      </c>
      <c r="O31" s="23"/>
      <c r="P31" s="79"/>
      <c r="Q31" s="80"/>
      <c r="R31" s="79"/>
      <c r="T31" s="14"/>
      <c r="W31" s="18" t="str">
        <f ca="1"/>
        <v>IC/Passport</v>
      </c>
      <c r="Y31" s="27" t="str">
        <f ca="1"/>
        <v>761210-14-5715</v>
      </c>
    </row>
    <row r="32" spans="1:25" x14ac:dyDescent="0.25">
      <c r="A32" s="10" cm="1">
        <f t="array" aca="1" ref="A32" ca="1">_xlfn.LET(
  _xlpm.yr, VALUE(companysettings!$N$2),
  _xlpm.mn, IFERROR(VALUE(MID(CELL("filename",A31),FIND("]",CELL("filename",A31))+1,2)),$H$2),
  IF(OR(_xlpm.yr="",_xlpm.mn=""),"",
     IF(ROW()-2&gt;DAY(EOMONTH(DATE(_xlpm.yr,_xlpm.mn,1),0)),"",DATE(_xlpm.yr,_xlpm.mn,ROW()-2))
  )
)</f>
        <v>44924</v>
      </c>
      <c r="B32" s="40"/>
      <c r="C32" s="41">
        <f ca="1">IF($A32="","",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2" s="41">
        <f ca="1">IF($A32="","",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2" s="40">
        <f t="shared" si="3"/>
        <v>0.70833333333333337</v>
      </c>
      <c r="F32" s="41">
        <f ca="1">IF($A32="","",
 _xlfn.LET(
  _xlpm.d,$A32,
  _xlpm.ti,$B32, _xlpm.eo,$E32, _xlpm.bs,$C32, _xlpm.be,$D32,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_xlpm.st,UPPER(TRIM($K32)),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2" s="41">
        <f t="shared" ca="1" si="0"/>
        <v>0.70833333333333337</v>
      </c>
      <c r="H32" s="40"/>
      <c r="I32" s="40"/>
      <c r="J32" s="42" t="str">
        <f ca="1">IF(OR($A32="",$G32="",$I32=""),"",
  _xlfn.LET(
    _xlpm.st,$G32,_xlpm.en,$I32,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2" s="19" t="s">
        <v>314</v>
      </c>
      <c r="L32" s="19" t="s">
        <v>316</v>
      </c>
      <c r="M32" s="19" t="s">
        <v>321</v>
      </c>
      <c r="N32" s="100">
        <f t="shared" ca="1" si="1"/>
        <v>0.39583333333333331</v>
      </c>
      <c r="O32" s="23"/>
      <c r="P32" s="79"/>
      <c r="Q32" s="80"/>
      <c r="R32" s="79"/>
      <c r="T32" s="14"/>
      <c r="W32" s="18"/>
      <c r="Y32" s="27"/>
    </row>
    <row r="33" spans="1:25" x14ac:dyDescent="0.25">
      <c r="A33" s="10" cm="1">
        <f t="array" aca="1" ref="A33" ca="1">_xlfn.LET(
  _xlpm.yr, VALUE(companysettings!$N$2),
  _xlpm.mn, IFERROR(VALUE(MID(CELL("filename",A32),FIND("]",CELL("filename",A32))+1,2)),$H$2),
  IF(OR(_xlpm.yr="",_xlpm.mn=""),"",
     IF(ROW()-2&gt;DAY(EOMONTH(DATE(_xlpm.yr,_xlpm.mn,1),0)),"",DATE(_xlpm.yr,_xlpm.mn,ROW()-2))
  )
)</f>
        <v>44925</v>
      </c>
      <c r="B33" s="40"/>
      <c r="C33" s="41">
        <f ca="1">IF($A33="","",
  _xlfn.LET(_xlpm.bs,IFERROR(INDEX(staffsettings!$V:$V,MATCH("Break Start",staffsettings!$U:$U,0)),""),
      IF(_xlpm.bs&lt;&gt;"",_xlpm.bs,IFERROR(INDEX(companysettings!$R:$R,MATCH("Break Start",companysettings!$Q:$Q,0)),TIME(12,0,0)))
  )
)</f>
        <v>0.5</v>
      </c>
      <c r="D33" s="41">
        <f ca="1">IF($A33="","",
  _xlfn.LET(_xlpm.be,IFERROR(INDEX(staffsettings!$V:$V,MATCH("Break End",staffsettings!$U:$U,0)),""),
      IF(_xlpm.be&lt;&gt;"",_xlpm.be,IFERROR(INDEX(companysettings!$R:$R,MATCH("Break End",companysettings!$Q:$Q,0)),TIME(13,0,0)))
  )
)</f>
        <v>0.54166666666666663</v>
      </c>
      <c r="E33" s="40">
        <f t="shared" si="3"/>
        <v>0.70833333333333337</v>
      </c>
      <c r="F33" s="41">
        <f ca="1">IF($A33="","",
 _xlfn.LET(
  _xlpm.d,$A33,
  _xlpm.ti,$B33, _xlpm.eo,$E33, _xlpm.bs,$C33, _xlpm.be,$D33,
  _xlpm.nti,IF(_xlpm.ti="","",IF(ISNUMBER(_xlpm.ti),MOD(_xlpm.ti,1),IFERROR(TIMEVALUE(_xlpm.ti),""))),
  _xlpm.neo,IF(_xlpm.eo="","",IF(ISNUMBER(_xlpm.eo),MOD(_xlpm.eo,1),IFERROR(TIMEVALUE(_xlpm.eo),""))),
  _xlpm.nbs,IF(_xlpm.bs="","",IF(ISNUMBER(_xlpm.bs),MOD(_xlpm.bs,1),IFERROR(TIMEVALUE(_xlpm.bs),""))),
  _xlpm.nbe,IF(_xlpm.be="","",IF(ISNUMBER(_xlpm.be),MOD(_xlpm.be,1),IFERROR(TIMEVALUE(_xlpm.be),""))),
  _xlpm.has,AND(_xlpm.nti&lt;&gt;"",_xlpm.neo&lt;&gt;""),
  _xlpm.brk,IF(AND(_xlpm.has,_xlpm.nbs&lt;&gt;"",_xlpm.nbe&lt;&gt;"",_xlpm.nbe&gt;_xlpm.nbs),
         MAX(0,MIN(_xlpm.nbe,_xlpm.neo)-MAX(_xlpm.nbs,_xlpm.nti)),0),
  _xlpm.actd,IF(_xlpm.has,MAX(0,(_xlpm.neo-_xlpm.nti)-_xlpm.brk),0),
  _xlpm.reqd_raw,staffsettings!$V$2,
  _xlpm.reqd,
    IF(ISNUMBER(_xlpm.reqd_raw),
       MOD(_xlpm.reqd_raw,1),
       IF(_xlpm.reqd_raw="","",MOD(TIMEVALUE(_xlpm.reqd_raw),1))),
  _xlpm.offMon,INDEX(staffsettings!$AD:$AD,MATCH("Weekly Off Mon",staffsettings!$AC:$AC,0)),
  _xlpm.offTue,INDEX(staffsettings!$AD:$AD,MATCH("Weekly Off Tue",staffsettings!$AC:$AC,0)),
  _xlpm.offWed,INDEX(staffsettings!$AD:$AD,MATCH("Weekly Off Wed",staffsettings!$AC:$AC,0)),
  _xlpm.offThu,INDEX(staffsettings!$AD:$AD,MATCH("Weekly Off Thu",staffsettings!$AC:$AC,0)),
  _xlpm.offFri,INDEX(staffsettings!$AD:$AD,MATCH("Weekly Off Fri",staffsettings!$AC:$AC,0)),
  _xlpm.offSat,INDEX(staffsettings!$AD:$AD,MATCH("Weekly Off Sat",staffsettings!$AC:$AC,0)),
  _xlpm.offSun,INDEX(staffsettings!$AD:$AD,MATCH("Weekly Off Sun",staffsettings!$AC:$AC,0)),
  _xlpm.offToday,
    UPPER(CHOOSE(WEEKDAY(_xlpm.d,2),
                 _xlpm.offMon,_xlpm.offTue,_xlpm.offWed,_xlpm.offThu,_xlpm.offFri,_xlpm.offSat,_xlpm.offSun))="YES",
  _xlpm.lastOffDOW,
    IF(UPPER(_xlpm.offSun)="YES",7,
    IF(UPPER(_xlpm.offSat)="YES",6,
    IF(UPPER(_xlpm.offFri)="YES",5,
    IF(UPPER(_xlpm.offThu)="YES",4,
    IF(UPPER(_xlpm.offWed)="YES",3,
    IF(UPPER(_xlpm.offTue)="YES",2,
    IF(UPPER(_xlpm.offMon)="YES",1,0))))))),
  _xlpm.obs,UPPER(INDEX(staffsettings!$AD:$AD,
                  MATCH("Observe Public Holidays",staffsettings!$AC:$AC,0))),
  _xlpm.isPHtoday,ISNUMBER(MATCH(_xlpm.d,holidays!$E:$E,0)),
  _xlpm.isPHrepl,AND(ISNUMBER(MATCH(_xlpm.d-1,holidays!$E:$E,0)),
               WEEKDAY(_xlpm.d-1,2)=_xlpm.lastOffDOW,NOT(_xlpm.offToday)),
  _xlpm.isPHpay,AND(_xlpm.obs="YES",
              OR(AND(_xlpm.isPHtoday,NOT(_xlpm.offToday)),_xlpm.isPHrepl)),
  _xlpm.st,UPPER(TRIM($K33)),
  _xlpm.pt,UPPER(INDEX(staffsettings!$R:$R,MATCH("Pay Type",staffsettings!$Q:$Q,0))),
  _xlpm.mpwt,UPPER(INDEX(staffsettings!$R:$R,
                   MATCH("Monthly Present Without Time",staffsettings!$Q:$Q,0))),
  _xlpm.hd,IFERROR(VALUE(INDEX(staffsettings!$R:$R,
                         MATCH("Half Day Credit",staffsettings!$Q:$Q,0))),0.5),
  _xlpm.base,
    IF(_xlpm.isPHpay,0,
      IF(_xlpm.offToday,0,
        IF(OR(_xlpm.st="AL",_xlpm.st="SL"),0,
          IF(_xlpm.st="FD",0,
            IF(_xlpm.st="HD",_xlpm.reqd*(1-_xlpm.hd),
              IF(_xlpm.st="PR",_xlpm.reqd,
                IF(AND(_xlpm.st="",_xlpm.pt="MONTHLY",_xlpm.mpwt="PAID",NOT(_xlpm.has)),0,_xlpm.reqd)
              )
            )
          )
        )
      )
    ),
  MAX(0,_xlpm.base-_xlpm.actd)
 )
)</f>
        <v>0.39583333333333331</v>
      </c>
      <c r="G33" s="41">
        <f t="shared" ca="1" si="0"/>
        <v>0.70833333333333337</v>
      </c>
      <c r="H33" s="40"/>
      <c r="I33" s="40"/>
      <c r="J33" s="42" t="str">
        <f ca="1">IF(OR($A33="",$G33="",$I33=""),"",
  _xlfn.LET(
    _xlpm.st,$G33,_xlpm.en,$I33,
    _xlpm.dh,IF(_xlpm.en&lt;_xlpm.st,(_xlpm.en+1-_xlpm.st)*24,(_xlpm.en-_xlpm.st)*24),
    _xlpm.bdRaw,IFERROR(IFERROR(
            INDEX(staffsettings!$V:$V,MATCH("OT Break Duration",staffsettings!$U:$U,0)),
            INDEX(companysettings!$AH:$AH,MATCH("OT Break Duration",companysettings!$AG:$AG,0))
          ),0),
    _xlpm.thRaw,IFERROR(IFERROR(
            INDEX(staffsettings!$V:$V,MATCH("OT Break Threshold Hours",staffsettings!$U:$U,0)),
            INDEX(companysettings!$AH:$AH,MATCH("OT Break Threshold Hours",companysettings!$AG:$AG,0))
          ),0),
    _xlpm.bdH,IF(_xlpm.bdRaw&lt;1,_xlpm.bdRaw*24,_xlpm.bdRaw),
    _xlpm.thH,IF(_xlpm.thRaw&lt;1,_xlpm.thRaw*24,_xlpm.thRaw),
    _xlpm.cy,IF(_xlpm.thH=0,0,INT(_xlpm.dh/_xlpm.thH)),
    MAX(0, _xlpm.dh - _xlpm.cy*_xlpm.bdH)
  )
)</f>
        <v/>
      </c>
      <c r="K33" s="19" t="s">
        <v>314</v>
      </c>
      <c r="L33" s="19" t="s">
        <v>316</v>
      </c>
      <c r="M33" s="19" t="s">
        <v>321</v>
      </c>
      <c r="N33" s="100">
        <f t="shared" ca="1" si="1"/>
        <v>0.39583333333333331</v>
      </c>
      <c r="O33" s="23"/>
      <c r="P33" s="79"/>
      <c r="Q33" s="80"/>
      <c r="R33" s="79"/>
      <c r="T33" s="14"/>
      <c r="W33" s="18"/>
      <c r="Y33" s="27"/>
    </row>
    <row r="34" spans="1:25" x14ac:dyDescent="0.25">
      <c r="D34" s="101">
        <f ca="1">SUMPRODUCT(N($F$3:$F$33))*24</f>
        <v>1.4999999999999973</v>
      </c>
      <c r="F34" s="87"/>
      <c r="G34" s="17" cm="1">
        <f t="array" aca="1" ref="G34" ca="1">IF(COUNTA($F$3:$F$33)=0,"",
 SUMPRODUCT(
   IF($F$3:$F$33="",
      0,
      IF(ISNUMBER($F$3:$F$33),
         $F$3:$F$33,
         IFERROR(TIMEVALUE($F$3:$F$33),0)
      )
   )
 )*24
)</f>
        <v>127.49999999999996</v>
      </c>
      <c r="J34" s="68"/>
      <c r="K34" s="68"/>
      <c r="L34" s="68"/>
      <c r="M34" s="68"/>
      <c r="N34" s="11">
        <f ca="1">SUM(N3:N30)</f>
        <v>4.1249999999999991</v>
      </c>
      <c r="O34" s="45"/>
      <c r="P34" s="81"/>
      <c r="Q34" s="80"/>
      <c r="R34" s="81"/>
      <c r="T34" s="14"/>
      <c r="W34" s="18"/>
      <c r="Y34" s="27"/>
    </row>
    <row r="35" spans="1:25" x14ac:dyDescent="0.25">
      <c r="F35" s="68"/>
      <c r="T35" s="14"/>
      <c r="W35" s="18"/>
      <c r="Y35" s="27"/>
    </row>
    <row r="36" spans="1:25" x14ac:dyDescent="0.25">
      <c r="A36" s="69" t="s">
        <v>364</v>
      </c>
      <c r="B36" s="98" t="s">
        <v>363</v>
      </c>
      <c r="C36" s="98" t="s">
        <v>370</v>
      </c>
      <c r="D36" s="98" t="s">
        <v>367</v>
      </c>
      <c r="E36" s="98" t="s">
        <v>368</v>
      </c>
      <c r="F36" s="98" t="s">
        <v>365</v>
      </c>
      <c r="G36" s="34"/>
      <c r="H36" s="34"/>
      <c r="I36" s="34"/>
      <c r="J36" s="98" t="s">
        <v>311</v>
      </c>
      <c r="O36" s="51" t="s">
        <v>323</v>
      </c>
      <c r="P36" s="51" t="str">
        <f>$K$2</f>
        <v>ATT</v>
      </c>
      <c r="Q36" s="51" t="s">
        <v>261</v>
      </c>
      <c r="R36" s="60" t="str">
        <f>$M$2</f>
        <v>PS</v>
      </c>
      <c r="T36" s="14"/>
      <c r="W36" s="18"/>
      <c r="Y36" s="27"/>
    </row>
    <row r="37" spans="1:25" x14ac:dyDescent="0.25">
      <c r="A37" s="1" t="s">
        <v>330</v>
      </c>
      <c r="B37" s="97" cm="1">
        <f t="array" aca="1" ref="B37" ca="1">IF(D37="","",
 _xlfn.LET(
  _xlpm.rng,$F$3:$F$33,
  _xlpm.vals,IF(_xlpm.rng="","",IF(ISNUMBER(_xlpm.rng),_xlpm.rng,IFERROR(TIMEVALUE(_xlpm.rng),0))),
  _xlpm.totalH,SUM(_xlpm.vals)*24,
  _xlpm.hpd,IF(ISTEXT(staffsettings!$V$2),
         IFERROR(TIMEVALUE(staffsettings!$V$2)*24,0),
         IF(staffsettings!$V$2&lt;1,staffsettings!$V$2*24,staffsettings!$V$2)),
  _xlpm.shortDays,IF(OR(_xlpm.totalH=0,_xlpm.hpd&lt;=0),0,_xlpm.totalH/_xlpm.hpd),
  MAX(0,D37-_xlpm.shortDays)
 )
)</f>
        <v>8.5789473684210567</v>
      </c>
      <c r="C37" s="97">
        <f>companysettings!$N$35</f>
        <v>0</v>
      </c>
      <c r="D37" s="99" cm="1">
        <f t="array" aca="1" ref="D37" ca="1">IF(COUNTA($A$3:$A$33)=0,"",
 _xlfn.LET(
  _xlpm.d,$A$3:$A$33,
  _xlpm.w,IF(_xlpm.d="",0,WEEKDAY(_xlpm.d,2)),
  _xlpm.mon,--(UPPER(TRIM(_xlfn.XLOOKUP("Weekly Off Mon",staffsettings!$AC:$AC,staffsettings!$AD:$AD,"No",0)))="YES"),
  _xlpm.tue,--(UPPER(TRIM(_xlfn.XLOOKUP("Weekly Off Tue",staffsettings!$AC:$AC,staffsettings!$AD:$AD,"No",0)))="YES"),
  _xlpm.wed,--(UPPER(TRIM(_xlfn.XLOOKUP("Weekly Off Wed",staffsettings!$AC:$AC,staffsettings!$AD:$AD,"No",0)))="YES"),
  _xlpm.thu,--(UPPER(TRIM(_xlfn.XLOOKUP("Weekly Off Thu",staffsettings!$AC:$AC,staffsettings!$AD:$AD,"No",0)))="YES"),
  _xlpm.fri,--(UPPER(TRIM(_xlfn.XLOOKUP("Weekly Off Fri",staffsettings!$AC:$AC,staffsettings!$AD:$AD,"No",0)))="YES"),
  _xlpm.sat,--(UPPER(TRIM(_xlfn.XLOOKUP("Weekly Off Sat",staffsettings!$AC:$AC,staffsettings!$AD:$AD,"No",0)))="YES"),
  _xlpm.sun,--(UPPER(TRIM(_xlfn.XLOOKUP("Weekly Off Sun",staffsettings!$AC:$AC,staffsettings!$AD:$AD,"No",0)))="YES"),
  _xlpm.off,(_xlpm.w=1)*_xlpm.mon+(_xlpm.w=2)*_xlpm.tue+(_xlpm.w=3)*_xlpm.wed+(_xlpm.w=4)*_xlpm.thu+(_xlpm.w=5)*_xlpm.fri+(_xlpm.w=6)*_xlpm.sat+(_xlpm.w=7)*_xlpm.sun,
  _xlpm.obs,--(UPPER(TRIM(_xlfn.XLOOKUP("Observe Public Holidays",staffsettings!$AC:$AC,staffsettings!$AD:$AD,"No",0)))="YES"),
  _xlpm.e,holidays!$E$2:$E$300,
  _xlpm.eTxt,IF(_xlpm.e="","",IFERROR(TEXT(_xlpm.e,"yyyy-mm-dd"),IFERROR(TEXT(DATEVALUE(_xlpm.e),"yyyy-mm-dd"),""))),
  _xlpm.dTxt,IF(_xlpm.d="","",TEXT(_xlpm.d,"yyyy-mm-dd")),
  _xlpm.ph,IF(_xlpm.obs,--ISNUMBER(_xlfn.XMATCH(_xlpm.dTxt,_xlpm.eTxt,0)),0),
  SUMPRODUCT((_xlpm.d&lt;&gt;"")*(_xlpm.off=0)*(_xlpm.ph=0))
 ))</f>
        <v>22</v>
      </c>
      <c r="E37" s="97">
        <f>companysettings!$N$39</f>
        <v>0</v>
      </c>
      <c r="G37" s="75"/>
      <c r="H37" s="75"/>
      <c r="I37" s="75"/>
      <c r="J37" s="64">
        <f ca="1">IFERROR(
  J38 /
  IF(ISTEXT(staffsettings!$V$2),
     IFERROR(TIMEVALUE(staffsettings!$V$2)*24,0),
     IF(staffsettings!$V$2&lt;1,staffsettings!$V$2*24,staffsettings!$V$2)
  ),
0)</f>
        <v>1.8947368421052613</v>
      </c>
      <c r="O37" s="45" t="str">
        <f>staffsettings!I6</f>
        <v>Annual Leave</v>
      </c>
      <c r="P37" s="48" t="str">
        <f>staffsettings!L6</f>
        <v>AL</v>
      </c>
      <c r="Q37" s="45" t="str">
        <f>staffsettings!S21</f>
        <v>Days @ Base Rate</v>
      </c>
      <c r="R37" s="19" t="str">
        <f>staffsettings!T21</f>
        <v>BR</v>
      </c>
      <c r="T37" s="14"/>
      <c r="W37" s="18"/>
      <c r="Y37" s="27"/>
    </row>
    <row r="38" spans="1:25" x14ac:dyDescent="0.25">
      <c r="A38" s="1" t="s">
        <v>369</v>
      </c>
      <c r="B38" s="97" cm="1">
        <f t="array" aca="1" ref="B38" ca="1">_xlfn.LET(
 _xlpm.rng,$F$3:$F$33,
 _xlpm.vals,IF(_xlpm.rng="","",IF(ISNUMBER(_xlpm.rng),_xlpm.rng,IFERROR(TIMEVALUE(_xlpm.rng),0))),
 _xlpm.totalH,SUM(_xlpm.vals)*24,
 IF(_xlpm.totalH=0,"",_xlpm.totalH)
)</f>
        <v>127.49999999999996</v>
      </c>
      <c r="C38" s="97">
        <f>companysettings!$N$36</f>
        <v>0</v>
      </c>
      <c r="D38" s="99">
        <f ca="1">IF(D37="","",
 _xlfn.LET(
  _xlpm.h,IF(ISTEXT(staffsettings!$V$2),
        IFERROR(TIMEVALUE(staffsettings!$V$2)*24,0),
        IF(staffsettings!$V$2&lt;1,staffsettings!$V$2*24,staffsettings!$V$2)
     ),
  D37*_xlpm.h
 ))</f>
        <v>209</v>
      </c>
      <c r="E38" s="97">
        <f>companysettings!$N$40</f>
        <v>0</v>
      </c>
      <c r="G38" s="75"/>
      <c r="H38" s="75"/>
      <c r="I38" s="75"/>
      <c r="J38" s="64">
        <f ca="1">IFERROR(SUM(J3:J33),0)</f>
        <v>17.999999999999982</v>
      </c>
      <c r="O38" s="45" t="str">
        <f>staffsettings!I7</f>
        <v>Full Day</v>
      </c>
      <c r="P38" s="48" t="str">
        <f>staffsettings!L7</f>
        <v>FD</v>
      </c>
      <c r="Q38" s="45" t="str">
        <f>staffsettings!S22</f>
        <v>Days @ Secondary Rate</v>
      </c>
      <c r="R38" s="19" t="str">
        <f>staffsettings!T22</f>
        <v>SR</v>
      </c>
      <c r="T38" s="15"/>
      <c r="U38" s="16"/>
      <c r="V38" s="16"/>
      <c r="W38" s="36"/>
      <c r="X38" s="16"/>
      <c r="Y38" s="28"/>
    </row>
    <row r="39" spans="1:25" x14ac:dyDescent="0.25">
      <c r="A39" s="1" t="s">
        <v>186</v>
      </c>
      <c r="B39" s="97"/>
      <c r="C39" s="97"/>
      <c r="D39" s="97"/>
      <c r="E39" s="97"/>
      <c r="F39" s="64">
        <f ca="1">IF($F$49&lt;=0,"",
  IF(N(staffsettings!$R$3)&gt;0, staffsettings!$R$3/$F$49,
     IF(N(staffsettings!$R$4)&gt;0, staffsettings!$R$4, "")
  )
)</f>
        <v>80</v>
      </c>
      <c r="G39" s="75"/>
      <c r="H39" s="75"/>
      <c r="I39" s="75"/>
      <c r="J39" s="64">
        <f>IFERROR(_xlfn.LET(
  _xlpm.z,UPPER(TRIM(companysettings!$Z$8)),
  _xlpm.basis,IF(LEFT(_xlpm.z,3)="F37",$F$49,
        IF(LEFT(_xlpm.z,6)="ACTUAL",$F$49,
           IFERROR(VALUE(_xlpm.z),26))),
  _xlpm.h,IF(ISTEXT(staffsettings!$V$2),IFERROR(TIMEVALUE(staffsettings!$V$2)*24,0),
     IF(staffsettings!$V$2&lt;1,staffsettings!$V$2*24,staffsettings!$V$2)),
  _xlpm.sal,N(staffsettings!$R$3),
  _xlpm.dr,N(staffsettings!$R$4),
  _xlpm.hr,N(staffsettings!$R$5),
  _xlpm.dly,IF(_xlpm.sal&gt;0, _xlpm.sal/_xlpm.basis,
       IF(_xlpm.dr&gt;0, _xlpm.dr,
          IF(AND(_xlpm.hr&gt;0,_xlpm.h&gt;0), _xlpm.hr*_xlpm.h, ""))),
  _xlpm.dly
),"")</f>
        <v>80</v>
      </c>
      <c r="O39" s="45" t="str">
        <f>staffsettings!I8</f>
        <v>Half Day</v>
      </c>
      <c r="P39" s="48" t="str">
        <f>staffsettings!L8</f>
        <v>HD</v>
      </c>
      <c r="Q39" s="45">
        <f>staffsettings!S23</f>
        <v>0</v>
      </c>
      <c r="R39" s="19">
        <f>staffsettings!T23</f>
        <v>0</v>
      </c>
      <c r="U39" s="1">
        <f ca="1">SUM(U18:U22)</f>
        <v>17.999999999999982</v>
      </c>
    </row>
    <row r="40" spans="1:25" x14ac:dyDescent="0.25">
      <c r="A40" s="1" t="s">
        <v>187</v>
      </c>
      <c r="B40" s="97"/>
      <c r="C40" s="97"/>
      <c r="D40" s="97"/>
      <c r="E40" s="97"/>
      <c r="F40" s="64">
        <f>IFERROR(
 IF(N(staffsettings!$R$3)&gt;0,
    IF($F$50&gt;0, staffsettings!$R$3/$F$50, ""),
    IF(N(staffsettings!$R$5)&gt;0,
       staffsettings!$R$5,
       IF(AND(N(staffsettings!$R$4)&gt;0,
              IF(ISTEXT(staffsettings!$V$2),IFERROR(TIMEVALUE(staffsettings!$V$2)*24,0),
                 IF(staffsettings!$V$2&lt;1,staffsettings!$V$2*24,staffsettings!$V$2))&gt;0),
          staffsettings!$R$4/
            IF(ISTEXT(staffsettings!$V$2),IFERROR(TIMEVALUE(staffsettings!$V$2)*24,0),
               IF(staffsettings!$V$2&lt;1,staffsettings!$V$2*24,staffsettings!$V$2)),
          ""
       )
    )
 ),
"")</f>
        <v>8.4210526315789469</v>
      </c>
      <c r="G40" s="75"/>
      <c r="H40" s="75"/>
      <c r="I40" s="75"/>
      <c r="J40" s="64">
        <f>IFERROR(_xlfn.LET(
  _xlpm.z,UPPER(TRIM(companysettings!$Z$8)),
  _xlpm.h,IF(ISTEXT(staffsettings!$V$2),IFERROR(TIMEVALUE(staffsettings!$V$2)*24,0),IF(staffsettings!$V$2&lt;1,staffsettings!$V$2*24,staffsettings!$V$2)),
  _xlpm.basis,IF(LEFT(_xlpm.z,3)="F37",$F$49,IF(LEFT(_xlpm.z,6)="ACTUAL",$F$49,IFERROR(VALUE(_xlpm.z),26))),
  _xlpm.sal,N(staffsettings!$R$3),
  _xlpm.dr,N(staffsettings!$R$4),
  _xlpm.hr,N(staffsettings!$R$5),
  _xlpm.dly,IF(_xlpm.sal&gt;0,_xlpm.sal/_xlpm.basis,IF(_xlpm.dr&gt;0,_xlpm.dr,IF(AND(_xlpm.hr&gt;0,_xlpm.h&gt;0),_xlpm.hr*_xlpm.h,""))),
  IF(_xlpm.h&lt;=0,"",IF(_xlpm.dly="","",_xlpm.dly/_xlpm.h))
),"")</f>
        <v>8.4210526315789469</v>
      </c>
      <c r="O40" s="45" t="str">
        <f>staffsettings!I9</f>
        <v>Present</v>
      </c>
      <c r="P40" s="48" t="str">
        <f>staffsettings!L9</f>
        <v>PR</v>
      </c>
      <c r="Q40" s="45">
        <f>staffsettings!S24</f>
        <v>0</v>
      </c>
      <c r="R40" s="19">
        <f>staffsettings!T24</f>
        <v>0</v>
      </c>
    </row>
    <row r="41" spans="1:25" x14ac:dyDescent="0.25">
      <c r="A41" s="1" t="s">
        <v>331</v>
      </c>
      <c r="B41" s="97"/>
      <c r="C41" s="97"/>
      <c r="D41" s="97"/>
      <c r="E41" s="97"/>
      <c r="F41" s="89" cm="1">
        <f t="array" aca="1" ref="F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1</v>
      </c>
      <c r="G41" s="75"/>
      <c r="H41" s="75"/>
      <c r="I41" s="75"/>
      <c r="J41" s="64" cm="1">
        <f t="array" aca="1" ref="J41" ca="1">_xlfn.LET(_xlpm.d,$A$3:$A$33,
_xlpm.obs,--(UPPER(TRIM(_xlfn.XLOOKUP("Observe Public Holidays",staffsettings!$AC:$AC,staffsettings!$AD:$AD,"No")))="YES"),
_xlpm.elist,IFERROR(_xlfn._xlws.FILTER(holidays!$E$2:$E$30,holidays!$E$2:$E$30&lt;&gt;""),""),
_xlpm.dTxt,TEXT(_xlpm.d,"yyyy-mm-dd"),
_xlpm.eTxt,IF(_xlpm.elist="","",TEXT(_xlpm.elist,"yyyy-mm-dd")),
IF(_xlpm.obs,SUMPRODUCT(($A$3:$A$33&lt;&gt;"")*ISNUMBER(MATCH(_xlpm.dTxt,_xlpm.eTxt,0))),0))</f>
        <v>1</v>
      </c>
      <c r="O41" s="45" t="str">
        <f>staffsettings!I10</f>
        <v>Sick Leave</v>
      </c>
      <c r="P41" s="48" t="str">
        <f>staffsettings!L10</f>
        <v>SL</v>
      </c>
      <c r="Q41" s="45"/>
      <c r="R41" s="19"/>
      <c r="T41" s="22" t="e" vm="2">
        <f>U11</f>
        <v>#VALUE!</v>
      </c>
      <c r="U41" s="22">
        <f ca="1">F39</f>
        <v>80</v>
      </c>
      <c r="V41" s="22"/>
    </row>
    <row r="42" spans="1:25" x14ac:dyDescent="0.25">
      <c r="A42" s="1" t="s">
        <v>333</v>
      </c>
      <c r="B42" s="97"/>
      <c r="C42" s="97"/>
      <c r="D42" s="97"/>
      <c r="E42" s="97"/>
      <c r="F42" s="88" cm="1">
        <f t="array" aca="1" ref="F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G42" s="75"/>
      <c r="H42" s="75"/>
      <c r="I42" s="75"/>
      <c r="J42" s="64" cm="1">
        <f t="array" aca="1" ref="J42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SUMPRODUCT(($A$3:$A$33&lt;&gt;"")*((_xlpm.w=1)*_xlpm.mon+(_xlpm.w=2)*_xlpm.tue+(_xlpm.w=3)*_xlpm.wed+(_xlpm.w=4)*_xlpm.thu+(_xlpm.w=5)*_xlpm.fri+(_xlpm.w=6)*_xlpm.sat+(_xlpm.w=7)*_xlpm.sun)))</f>
        <v>8</v>
      </c>
      <c r="O42"/>
      <c r="P42" s="46"/>
      <c r="R42" s="17"/>
      <c r="T42" s="22" t="str">
        <f t="shared" ref="T42:T44" si="4">U12</f>
        <v/>
      </c>
      <c r="U42" s="22">
        <f>F40</f>
        <v>8.4210526315789469</v>
      </c>
      <c r="V42" s="22" t="e">
        <f t="shared" ref="V42:V44" si="5">T42*U42</f>
        <v>#VALUE!</v>
      </c>
    </row>
    <row r="43" spans="1:25" x14ac:dyDescent="0.25">
      <c r="A43" s="1" t="s">
        <v>325</v>
      </c>
      <c r="B43" s="97"/>
      <c r="C43" s="97"/>
      <c r="D43" s="97"/>
      <c r="E43" s="97"/>
      <c r="F43" s="64">
        <f>IFERROR(IF(N(staffsettings!$R$8)&gt;0,N(staffsettings!$R$8),""),"")</f>
        <v>70</v>
      </c>
      <c r="G43" s="75"/>
      <c r="H43" s="75"/>
      <c r="I43" s="75"/>
      <c r="J43" s="64">
        <f>IFERROR(IF(N(staffsettings!$R$8)&gt;0,N(staffsettings!$R$8),""),"")</f>
        <v>70</v>
      </c>
      <c r="O43" s="52" t="s">
        <v>324</v>
      </c>
      <c r="P43" s="51" t="str">
        <f>$L$2</f>
        <v>OT</v>
      </c>
      <c r="Q43" s="53"/>
      <c r="R43" s="61"/>
      <c r="T43" s="22" t="str">
        <f t="shared" si="4"/>
        <v/>
      </c>
      <c r="U43" s="22">
        <f>F43</f>
        <v>70</v>
      </c>
      <c r="V43" s="22"/>
    </row>
    <row r="44" spans="1:25" x14ac:dyDescent="0.25">
      <c r="A44" s="1" t="s">
        <v>326</v>
      </c>
      <c r="B44" s="97"/>
      <c r="C44" s="97"/>
      <c r="D44" s="97"/>
      <c r="E44" s="97"/>
      <c r="F44" s="64">
        <f>IFERROR(IF(N(staffsettings!$R$9)&gt;0,N(staffsettings!$R$9),""),"")</f>
        <v>7.3684210526315788</v>
      </c>
      <c r="G44" s="75"/>
      <c r="H44" s="75"/>
      <c r="I44" s="75"/>
      <c r="J44" s="64">
        <f>IFERROR(IF(N(staffsettings!$R$9)&gt;0,N(staffsettings!$R$9),""),"")</f>
        <v>7.3684210526315788</v>
      </c>
      <c r="O44" s="23" t="str">
        <f>staffsettings!AM2</f>
        <v>Default</v>
      </c>
      <c r="P44" s="49" t="str">
        <f>staffsettings!AN2</f>
        <v>N</v>
      </c>
      <c r="Q44" s="45"/>
      <c r="R44" s="43"/>
      <c r="T44" s="22" t="str">
        <f t="shared" si="4"/>
        <v/>
      </c>
      <c r="U44" s="22">
        <f>F44</f>
        <v>7.3684210526315788</v>
      </c>
      <c r="V44" s="22" t="e">
        <f t="shared" si="5"/>
        <v>#VALUE!</v>
      </c>
    </row>
    <row r="45" spans="1:25" x14ac:dyDescent="0.25">
      <c r="A45" s="1" t="s">
        <v>339</v>
      </c>
      <c r="B45" s="97"/>
      <c r="C45" s="97"/>
      <c r="D45" s="97"/>
      <c r="E45" s="97"/>
      <c r="F45" s="68">
        <f ca="1">IF(COUNTA($A$3:$A$33)=0,"",24*SUMIFS($F$3:$F$33,$M$3:$M$33,"WD"))</f>
        <v>1.4999999999999973</v>
      </c>
      <c r="G45" s="68"/>
      <c r="H45" s="68"/>
      <c r="I45" s="68"/>
      <c r="J45" s="68">
        <f ca="1">SUM($J$3:$J$33)</f>
        <v>17.999999999999982</v>
      </c>
      <c r="O45" s="23" t="str">
        <f>staffsettings!AM3</f>
        <v>Rest Day</v>
      </c>
      <c r="P45" s="49" t="str">
        <f>staffsettings!AN3</f>
        <v>RD</v>
      </c>
      <c r="Q45" s="45"/>
      <c r="R45" s="43"/>
      <c r="V45" s="22" t="e">
        <f>SUM(V41:V44)</f>
        <v>#VALUE!</v>
      </c>
    </row>
    <row r="46" spans="1:25" x14ac:dyDescent="0.25">
      <c r="A46" s="1" t="s">
        <v>340</v>
      </c>
      <c r="B46" s="97"/>
      <c r="C46" s="97"/>
      <c r="D46" s="97"/>
      <c r="E46" s="97"/>
      <c r="F46" s="68">
        <f ca="1">IF(COUNTA($A$3:$A$33)=0,"",24*SUMIFS($F$3:$F$33,$M$3:$M$33,"WDI"))</f>
        <v>125.99999999999996</v>
      </c>
      <c r="G46" s="68"/>
      <c r="H46" s="68"/>
      <c r="I46" s="68"/>
      <c r="J46" s="68">
        <f ca="1">SUM($U$18:$U$30)</f>
        <v>17.999999999999982</v>
      </c>
      <c r="O46" s="23" t="str">
        <f>staffsettings!AM4</f>
        <v>Public Holiday</v>
      </c>
      <c r="P46" s="49" t="str">
        <f>staffsettings!AN4</f>
        <v>P</v>
      </c>
      <c r="Q46" s="45"/>
      <c r="R46" s="43"/>
    </row>
    <row r="47" spans="1:25" x14ac:dyDescent="0.25">
      <c r="B47" s="68"/>
      <c r="C47" s="68"/>
      <c r="D47" s="68"/>
      <c r="E47" s="68"/>
      <c r="F47" s="68"/>
      <c r="G47" s="68"/>
      <c r="H47" s="68"/>
      <c r="I47" s="68"/>
      <c r="J47" s="68"/>
      <c r="O47" s="23" t="str">
        <f>staffsettings!AM5</f>
        <v>PH on Rest Day</v>
      </c>
      <c r="P47" s="49" t="str">
        <f>staffsettings!AN5</f>
        <v>PR</v>
      </c>
      <c r="Q47" s="45"/>
      <c r="R47" s="43"/>
      <c r="V47" s="1">
        <f ca="1">F50*F40</f>
        <v>1760</v>
      </c>
    </row>
    <row r="48" spans="1:25" x14ac:dyDescent="0.25">
      <c r="B48" s="68"/>
      <c r="C48" s="68"/>
      <c r="D48" s="68"/>
      <c r="E48" s="68"/>
      <c r="F48" s="68"/>
      <c r="G48" s="68"/>
      <c r="H48" s="68"/>
      <c r="I48" s="68"/>
      <c r="J48" s="68"/>
      <c r="O48" s="23" t="str">
        <f>staffsettings!AM6</f>
        <v>Special</v>
      </c>
      <c r="P48" s="49" t="str">
        <f>staffsettings!AN6</f>
        <v>S</v>
      </c>
      <c r="Q48" s="45"/>
      <c r="R48" s="43"/>
      <c r="V48" s="1" cm="1">
        <f t="array" aca="1" ref="V48" ca="1" xml:space="preserve"> $F$50 - _xlfn.LET(
 _xlpm.hs,$F$3:$F$33,
 _xlpm.hsD,IF(_xlpm.hs="",
        0,
        IF(ISNUMBER(_xlpm.hs),
           MOD(_xlpm.hs,1),
           IFERROR(MOD(TIMEVALUE(_xlpm.hs),1),0)
        )
     ),
 24*SUM(_xlpm.hsD)
)</f>
        <v>81.500000000000043</v>
      </c>
    </row>
    <row r="49" spans="1:22" x14ac:dyDescent="0.25">
      <c r="A49" s="22"/>
      <c r="B49" s="68"/>
      <c r="C49" s="68"/>
      <c r="D49" s="68"/>
      <c r="E49" s="68"/>
      <c r="F49" s="64" cm="1">
        <f t="array" aca="1" ref="F49" ca="1">_xlfn.LET(_xlpm.d,$A$3:$A$33,_xlpm.w,IF($A$3:$A$33="",0,WEEKDAY($A$3:$A$33,2)),
_xlpm.mon,--(UPPER(TRIM(_xlfn.XLOOKUP("Weekly Off Mon",staffsettings!$AC:$AC,staffsettings!$AD:$AD,"No",0)))="YES"),
_xlpm.tue,--(UPPER(TRIM(_xlfn.XLOOKUP("Weekly Off Tue",staffsettings!$AC:$AC,staffsettings!$AD:$AD,"No",0)))="YES"),
_xlpm.wed,--(UPPER(TRIM(_xlfn.XLOOKUP("Weekly Off Wed",staffsettings!$AC:$AC,staffsettings!$AD:$AD,"No",0)))="YES"),
_xlpm.thu,--(UPPER(TRIM(_xlfn.XLOOKUP("Weekly Off Thu",staffsettings!$AC:$AC,staffsettings!$AD:$AD,"No",0)))="YES"),
_xlpm.fri,--(UPPER(TRIM(_xlfn.XLOOKUP("Weekly Off Fri",staffsettings!$AC:$AC,staffsettings!$AD:$AD,"No",0)))="YES"),
_xlpm.sat,--(UPPER(TRIM(_xlfn.XLOOKUP("Weekly Off Sat",staffsettings!$AC:$AC,staffsettings!$AD:$AD,"No",0)))="YES"),
_xlpm.sun,--(UPPER(TRIM(_xlfn.XLOOKUP("Weekly Off Sun",staffsettings!$AC:$AC,staffsettings!$AD:$AD,"No",0)))="YES"),
_xlpm.off,(_xlpm.w=1)*_xlpm.mon+(_xlpm.w=2)*_xlpm.tue+(_xlpm.w=3)*_xlpm.wed+(_xlpm.w=4)*_xlpm.thu+(_xlpm.w=5)*_xlpm.fri+(_xlpm.w=6)*_xlpm.sat+(_xlpm.w=7)*_xlpm.sun,
_xlpm.obs,--(UPPER(TRIM(_xlfn.XLOOKUP("Observe Public Holidays",staffsettings!$AC:$AC,staffsettings!$AD:$AD,"No",0)))="YES"),
_xlpm.e,holidays!$E$2:$E$30,
_xlpm.eTxt,IF(_xlpm.e="", "", IFERROR(TEXT(_xlpm.e,"yyyy-mm-dd"), IFERROR(TEXT(DATEVALUE(_xlpm.e),"yyyy-mm-dd"),""))),
_xlpm.dTxt,IF(_xlpm.d="", "", TEXT(_xlpm.d,"yyyy-mm-dd")),
_xlpm.ph,IF(_xlpm.obs, --ISNUMBER(_xlfn.XMATCH(_xlpm.dTxt,_xlpm.eTxt,0)), 0),
SUMPRODUCT(($A$3:$A$33&lt;&gt;"")*(_xlpm.off=0)*(_xlpm.ph=0)))</f>
        <v>22</v>
      </c>
      <c r="G49" s="22"/>
      <c r="H49" s="68"/>
      <c r="I49" s="68"/>
      <c r="J49" s="68"/>
      <c r="V49" s="1" cm="1">
        <f t="array" aca="1" ref="V49" ca="1" xml:space="preserve"> $F$50 - _xlfn.LET(
 _xlpm.hs,$F$3:$F$33,
 _xlpm.hsD,IF(_xlpm.hs="",
        0,
        IF(ISNUMBER(_xlpm.hs),
           MOD(_xlpm.hs,1),
           IFERROR(MOD(TIMEVALUE(_xlpm.hs),1),0)
        )
     ),
 24*SUM(_xlpm.hsD)
)</f>
        <v>81.500000000000043</v>
      </c>
    </row>
    <row r="50" spans="1:22" x14ac:dyDescent="0.25">
      <c r="B50" s="68"/>
      <c r="C50" s="68"/>
      <c r="D50" s="68"/>
      <c r="E50" s="68"/>
      <c r="F50" s="64">
        <f ca="1">IF($F$49&lt;=0,"",
 $F$49 *
 IF(ISTEXT(staffsettings!$V$2),IFERROR(TIMEVALUE(staffsettings!$V$2)*24,0),
    IF(staffsettings!$V$2&lt;1,staffsettings!$V$2*24,staffsettings!$V$2))
)</f>
        <v>209</v>
      </c>
      <c r="G50" s="68"/>
      <c r="H50" s="68"/>
      <c r="I50" s="68"/>
      <c r="J50" s="68"/>
    </row>
  </sheetData>
  <mergeCells count="1">
    <mergeCell ref="T5:Y9"/>
  </mergeCells>
  <dataValidations count="3">
    <dataValidation type="list" allowBlank="1" showInputMessage="1" showErrorMessage="1" sqref="M3:M33" xr:uid="{ADECEBD8-BB93-48A3-BDD0-987BC55A3E3F}">
      <formula1>PayStructureList</formula1>
    </dataValidation>
    <dataValidation type="list" allowBlank="1" showInputMessage="1" showErrorMessage="1" sqref="K3:K33" xr:uid="{6F189F08-F8C4-4C38-A3D4-F79138A4FFDA}">
      <formula1>AttendanceList</formula1>
    </dataValidation>
    <dataValidation type="list" allowBlank="1" showInputMessage="1" showErrorMessage="1" sqref="L3:L33" xr:uid="{644A9848-54CF-4A78-941C-CBCE7E92C6D4}">
      <formula1>OTTypeList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0F4FD27-CB6C-4C58-A812-F64E2A0F65FC}">
            <xm:f>AND(   $A3&lt;&gt;"",   UPPER(INDEX(staffsettings!$AD:$AD,MATCH("Observe Public Holidays",staffsettings!$AC:$AC,0)))="YES",   OR(     ISNUMBER(MATCH($A3,holidays!$E$2:$E$100,0)),     AND(       ISNUMBER(MATCH($A3-1,holidays!$E$2:$E$100,0)),       UPPER(CHOOSE(WEEKDAY($A3-1,2),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))="YES",       UPPER(CHOOSE(WEEKDAY($A3,2),         INDEX(staffsettings!$AD:$AD,MATCH("Weekly Off Mon",staffsettings!$AC:$AC,0)),         INDEX(staffsettings!$AD:$AD,MATCH("Weekly Off Tue",staffsettings!$AC:$AC,0)),         INDEX(staffsettings!$AD:$AD,MATCH("Weekly Off Wed",staffsettings!$AC:$AC,0)),         INDEX(staffsettings!$AD:$AD,MATCH("Weekly Off Thu",staffsettings!$AC:$AC,0)),         INDEX(staffsettings!$AD:$AD,MATCH("Weekly Off Fri",staffsettings!$AC:$AC,0)),         INDEX(staffsettings!$AD:$AD,MATCH("Weekly Off Sat",staffsettings!$AC:$AC,0)),         INDEX(staffsettings!$AD:$AD,MATCH("Weekly Off Sun",staffsettings!$AC:$AC,0))       ))&lt;&gt;"YES"     )   ) 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80FE2E3A-118F-4C2E-BFB5-03D4B9FF54BD}">
            <xm:f>UPPER(CHOOSE(WEEKDAY($A3,2),   INDEX(staffsettings!$AD:$AD,MATCH("Weekly Off Mon",staffsettings!$AC:$AC,0)),   INDEX(staffsettings!$AD:$AD,MATCH("Weekly Off Tue",staffsettings!$AC:$AC,0)),   INDEX(staffsettings!$AD:$AD,MATCH("Weekly Off Wed",staffsettings!$AC:$AC,0)),   INDEX(staffsettings!$AD:$AD,MATCH("Weekly Off Thu",staffsettings!$AC:$AC,0)),   INDEX(staffsettings!$AD:$AD,MATCH("Weekly Off Fri",staffsettings!$AC:$AC,0)),   INDEX(staffsettings!$AD:$AD,MATCH("Weekly Off Sat",staffsettings!$AC:$AC,0)),   INDEX(staffsettings!$AD:$AD,MATCH("Weekly Off Sun",staffsettings!$AC:$AC,0)) ))="YES"</xm:f>
            <x14:dxf>
              <fill>
                <patternFill>
                  <bgColor rgb="FF00FF00"/>
                </patternFill>
              </fill>
            </x14:dxf>
          </x14:cfRule>
          <xm:sqref>A3:J33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2CEDB-7A6E-4540-9DF8-D8D3FE027D1F}">
  <sheetPr codeName="Sheet11"/>
  <dimension ref="A1:G35"/>
  <sheetViews>
    <sheetView zoomScale="75" zoomScaleNormal="75" workbookViewId="0">
      <selection activeCell="I31" sqref="I31"/>
    </sheetView>
  </sheetViews>
  <sheetFormatPr defaultRowHeight="15" x14ac:dyDescent="0.25"/>
  <cols>
    <col min="1" max="1" width="26.85546875" style="1" bestFit="1" customWidth="1"/>
    <col min="2" max="4" width="20.7109375" style="1" customWidth="1"/>
    <col min="5" max="5" width="46.28515625" style="1" bestFit="1" customWidth="1"/>
    <col min="6" max="6" width="20.7109375" style="11" customWidth="1"/>
    <col min="7" max="7" width="20.7109375" style="1" customWidth="1"/>
    <col min="8" max="16384" width="9.140625" style="1"/>
  </cols>
  <sheetData>
    <row r="1" spans="1:7" x14ac:dyDescent="0.25">
      <c r="A1" s="17" t="s">
        <v>398</v>
      </c>
      <c r="B1" s="17"/>
      <c r="C1" s="17" t="s">
        <v>99</v>
      </c>
      <c r="D1" s="17" t="s">
        <v>399</v>
      </c>
      <c r="E1" s="17" t="s">
        <v>100</v>
      </c>
      <c r="F1" s="17"/>
      <c r="G1" s="17"/>
    </row>
    <row r="2" spans="1:7" x14ac:dyDescent="0.25">
      <c r="A2" s="1" t="s">
        <v>400</v>
      </c>
      <c r="D2" s="1" t="s">
        <v>401</v>
      </c>
      <c r="E2" s="1" t="s">
        <v>402</v>
      </c>
    </row>
    <row r="3" spans="1:7" x14ac:dyDescent="0.25">
      <c r="A3" s="1" t="s">
        <v>403</v>
      </c>
      <c r="D3" s="1" t="s">
        <v>404</v>
      </c>
      <c r="E3" s="1" t="s">
        <v>405</v>
      </c>
    </row>
    <row r="4" spans="1:7" x14ac:dyDescent="0.25">
      <c r="A4" s="1" t="s">
        <v>406</v>
      </c>
      <c r="D4" s="1" t="s">
        <v>407</v>
      </c>
      <c r="E4" s="1" t="s">
        <v>408</v>
      </c>
    </row>
    <row r="5" spans="1:7" x14ac:dyDescent="0.25">
      <c r="A5" s="1" t="s">
        <v>409</v>
      </c>
      <c r="D5" s="1" t="s">
        <v>330</v>
      </c>
      <c r="E5" s="1" t="s">
        <v>410</v>
      </c>
    </row>
    <row r="6" spans="1:7" x14ac:dyDescent="0.25">
      <c r="A6" s="1" t="s">
        <v>411</v>
      </c>
      <c r="D6" s="1" t="s">
        <v>369</v>
      </c>
      <c r="E6" s="1" t="s">
        <v>412</v>
      </c>
    </row>
    <row r="7" spans="1:7" x14ac:dyDescent="0.25">
      <c r="A7" s="1" t="s">
        <v>413</v>
      </c>
      <c r="D7" s="1" t="s">
        <v>189</v>
      </c>
      <c r="E7" s="1" t="s">
        <v>414</v>
      </c>
    </row>
    <row r="8" spans="1:7" x14ac:dyDescent="0.25">
      <c r="A8" s="1" t="s">
        <v>415</v>
      </c>
      <c r="D8" s="1" t="s">
        <v>330</v>
      </c>
      <c r="E8" s="1" t="s">
        <v>416</v>
      </c>
    </row>
    <row r="9" spans="1:7" x14ac:dyDescent="0.25">
      <c r="A9" s="1" t="s">
        <v>417</v>
      </c>
      <c r="D9" s="1" t="s">
        <v>369</v>
      </c>
      <c r="E9" s="1" t="s">
        <v>418</v>
      </c>
    </row>
    <row r="11" spans="1:7" x14ac:dyDescent="0.25">
      <c r="A11" s="17" t="s">
        <v>419</v>
      </c>
      <c r="B11" s="17"/>
      <c r="C11" s="17" t="s">
        <v>99</v>
      </c>
      <c r="D11" s="17" t="s">
        <v>420</v>
      </c>
      <c r="E11" s="17" t="s">
        <v>100</v>
      </c>
      <c r="F11" s="17"/>
    </row>
    <row r="12" spans="1:7" x14ac:dyDescent="0.25">
      <c r="A12" s="1" t="s">
        <v>421</v>
      </c>
      <c r="D12" s="1" t="s">
        <v>330</v>
      </c>
      <c r="E12" s="1" t="s">
        <v>422</v>
      </c>
    </row>
    <row r="13" spans="1:7" x14ac:dyDescent="0.25">
      <c r="A13" s="107" t="s">
        <v>423</v>
      </c>
      <c r="D13" s="1" t="s">
        <v>369</v>
      </c>
      <c r="E13" s="1" t="s">
        <v>424</v>
      </c>
    </row>
    <row r="14" spans="1:7" x14ac:dyDescent="0.25">
      <c r="A14" s="1" t="s">
        <v>425</v>
      </c>
      <c r="D14" s="1" t="s">
        <v>407</v>
      </c>
      <c r="E14" s="1" t="s">
        <v>426</v>
      </c>
    </row>
    <row r="15" spans="1:7" x14ac:dyDescent="0.25">
      <c r="A15" s="1" t="s">
        <v>427</v>
      </c>
      <c r="D15" s="1" t="s">
        <v>330</v>
      </c>
      <c r="E15" s="1" t="s">
        <v>428</v>
      </c>
    </row>
    <row r="16" spans="1:7" x14ac:dyDescent="0.25">
      <c r="A16" s="1" t="s">
        <v>429</v>
      </c>
      <c r="D16" s="1" t="s">
        <v>369</v>
      </c>
      <c r="E16" s="1" t="s">
        <v>430</v>
      </c>
    </row>
    <row r="17" spans="1:5" x14ac:dyDescent="0.25">
      <c r="A17" s="1" t="s">
        <v>431</v>
      </c>
      <c r="D17" s="1" t="s">
        <v>432</v>
      </c>
      <c r="E17" s="1" t="s">
        <v>433</v>
      </c>
    </row>
    <row r="18" spans="1:5" x14ac:dyDescent="0.25">
      <c r="A18" s="1" t="s">
        <v>434</v>
      </c>
      <c r="D18" s="1" t="s">
        <v>432</v>
      </c>
      <c r="E18" s="1" t="s">
        <v>435</v>
      </c>
    </row>
    <row r="19" spans="1:5" x14ac:dyDescent="0.25">
      <c r="A19" s="1" t="s">
        <v>436</v>
      </c>
      <c r="D19" s="1" t="s">
        <v>437</v>
      </c>
      <c r="E19" s="1" t="s">
        <v>438</v>
      </c>
    </row>
    <row r="20" spans="1:5" x14ac:dyDescent="0.25">
      <c r="A20" s="1" t="s">
        <v>439</v>
      </c>
      <c r="D20" s="1" t="s">
        <v>401</v>
      </c>
      <c r="E20" s="1" t="s">
        <v>440</v>
      </c>
    </row>
    <row r="22" spans="1:5" x14ac:dyDescent="0.25">
      <c r="A22" s="11" t="s">
        <v>441</v>
      </c>
    </row>
    <row r="23" spans="1:5" x14ac:dyDescent="0.25">
      <c r="A23" s="17" t="s">
        <v>371</v>
      </c>
      <c r="B23" s="17" t="s">
        <v>396</v>
      </c>
      <c r="C23" s="17" t="s">
        <v>397</v>
      </c>
      <c r="D23" s="17" t="s">
        <v>442</v>
      </c>
      <c r="E23" s="17" t="s">
        <v>100</v>
      </c>
    </row>
    <row r="24" spans="1:5" x14ac:dyDescent="0.25">
      <c r="A24" s="11">
        <v>1</v>
      </c>
      <c r="B24" s="1">
        <f ca="1">IFERROR(N(INDIRECT("'"&amp;TEXT($A24,"00")&amp;"'!$D$37")),0)</f>
        <v>0</v>
      </c>
      <c r="C24" s="1">
        <f ca="1">IFERROR(N(INDIRECT("'"&amp;TEXT($A24,"00")&amp;"'!$D$38")),0)</f>
        <v>0</v>
      </c>
      <c r="D24" s="1">
        <f ca="1">IF($C24&gt;0,1,0)</f>
        <v>0</v>
      </c>
    </row>
    <row r="25" spans="1:5" x14ac:dyDescent="0.25">
      <c r="A25" s="11">
        <v>2</v>
      </c>
      <c r="B25" s="1">
        <f t="shared" ref="B25:B35" ca="1" si="0">IFERROR(N(INDIRECT("'"&amp;TEXT($A25,"00")&amp;"'!$D$37")),0)</f>
        <v>20</v>
      </c>
      <c r="C25" s="1">
        <f t="shared" ref="C25:C35" ca="1" si="1">IFERROR(N(INDIRECT("'"&amp;TEXT($A25,"00")&amp;"'!$D$38")),0)</f>
        <v>190</v>
      </c>
      <c r="D25" s="1">
        <f t="shared" ref="D25:D35" ca="1" si="2">IF($C25&gt;0,1,0)</f>
        <v>1</v>
      </c>
    </row>
    <row r="26" spans="1:5" x14ac:dyDescent="0.25">
      <c r="A26" s="11">
        <v>3</v>
      </c>
      <c r="B26" s="1">
        <f t="shared" ca="1" si="0"/>
        <v>21</v>
      </c>
      <c r="C26" s="1">
        <f t="shared" ca="1" si="1"/>
        <v>199.5</v>
      </c>
      <c r="D26" s="1">
        <f t="shared" ca="1" si="2"/>
        <v>1</v>
      </c>
    </row>
    <row r="27" spans="1:5" x14ac:dyDescent="0.25">
      <c r="A27" s="11">
        <v>4</v>
      </c>
      <c r="B27" s="1">
        <f t="shared" ca="1" si="0"/>
        <v>22</v>
      </c>
      <c r="C27" s="1">
        <f t="shared" ca="1" si="1"/>
        <v>209</v>
      </c>
      <c r="D27" s="1">
        <f t="shared" ca="1" si="2"/>
        <v>1</v>
      </c>
    </row>
    <row r="28" spans="1:5" x14ac:dyDescent="0.25">
      <c r="A28" s="11">
        <v>5</v>
      </c>
      <c r="B28" s="1">
        <f t="shared" ca="1" si="0"/>
        <v>19</v>
      </c>
      <c r="C28" s="1">
        <f t="shared" ca="1" si="1"/>
        <v>180.5</v>
      </c>
      <c r="D28" s="1">
        <f t="shared" ca="1" si="2"/>
        <v>1</v>
      </c>
    </row>
    <row r="29" spans="1:5" x14ac:dyDescent="0.25">
      <c r="A29" s="11">
        <v>6</v>
      </c>
      <c r="B29" s="1">
        <f t="shared" ca="1" si="0"/>
        <v>20</v>
      </c>
      <c r="C29" s="1">
        <f t="shared" ca="1" si="1"/>
        <v>190</v>
      </c>
      <c r="D29" s="1">
        <f t="shared" ca="1" si="2"/>
        <v>1</v>
      </c>
    </row>
    <row r="30" spans="1:5" x14ac:dyDescent="0.25">
      <c r="A30" s="11">
        <v>7</v>
      </c>
      <c r="B30" s="1">
        <f t="shared" ca="1" si="0"/>
        <v>23</v>
      </c>
      <c r="C30" s="1">
        <f t="shared" ca="1" si="1"/>
        <v>218.5</v>
      </c>
      <c r="D30" s="1">
        <f t="shared" ca="1" si="2"/>
        <v>1</v>
      </c>
    </row>
    <row r="31" spans="1:5" x14ac:dyDescent="0.25">
      <c r="A31" s="11">
        <v>8</v>
      </c>
      <c r="B31" s="1">
        <f t="shared" ca="1" si="0"/>
        <v>19</v>
      </c>
      <c r="C31" s="1">
        <f t="shared" ca="1" si="1"/>
        <v>180.5</v>
      </c>
      <c r="D31" s="1">
        <f t="shared" ca="1" si="2"/>
        <v>1</v>
      </c>
    </row>
    <row r="32" spans="1:5" x14ac:dyDescent="0.25">
      <c r="A32" s="11">
        <v>9</v>
      </c>
      <c r="B32" s="1">
        <f t="shared" ca="1" si="0"/>
        <v>21</v>
      </c>
      <c r="C32" s="1">
        <f t="shared" ca="1" si="1"/>
        <v>199.5</v>
      </c>
      <c r="D32" s="1">
        <f t="shared" ca="1" si="2"/>
        <v>1</v>
      </c>
    </row>
    <row r="33" spans="1:4" x14ac:dyDescent="0.25">
      <c r="A33" s="11">
        <v>10</v>
      </c>
      <c r="B33" s="1">
        <f t="shared" ca="1" si="0"/>
        <v>22</v>
      </c>
      <c r="C33" s="1">
        <f t="shared" ca="1" si="1"/>
        <v>209</v>
      </c>
      <c r="D33" s="1">
        <f t="shared" ca="1" si="2"/>
        <v>1</v>
      </c>
    </row>
    <row r="34" spans="1:4" x14ac:dyDescent="0.25">
      <c r="A34" s="11">
        <v>11</v>
      </c>
      <c r="B34" s="1">
        <f t="shared" ca="1" si="0"/>
        <v>21</v>
      </c>
      <c r="C34" s="1">
        <f t="shared" ca="1" si="1"/>
        <v>199.5</v>
      </c>
      <c r="D34" s="1">
        <f t="shared" ca="1" si="2"/>
        <v>1</v>
      </c>
    </row>
    <row r="35" spans="1:4" x14ac:dyDescent="0.25">
      <c r="A35" s="11">
        <v>12</v>
      </c>
      <c r="B35" s="1">
        <f t="shared" ca="1" si="0"/>
        <v>22</v>
      </c>
      <c r="C35" s="1">
        <f t="shared" ca="1" si="1"/>
        <v>209</v>
      </c>
      <c r="D35" s="1">
        <f t="shared" ca="1" si="2"/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9D4FF-2336-4572-A04E-5F1C24FCB694}">
  <sheetPr codeName="Sheet2"/>
  <dimension ref="A1:BH45"/>
  <sheetViews>
    <sheetView showGridLines="0" zoomScale="75" zoomScaleNormal="75" workbookViewId="0">
      <selection activeCell="E8" sqref="E8"/>
    </sheetView>
  </sheetViews>
  <sheetFormatPr defaultRowHeight="15" x14ac:dyDescent="0.25"/>
  <cols>
    <col min="1" max="1" width="16.140625" bestFit="1" customWidth="1"/>
    <col min="2" max="2" width="26.5703125" bestFit="1" customWidth="1"/>
    <col min="3" max="3" width="16.28515625" bestFit="1" customWidth="1"/>
    <col min="4" max="4" width="10.5703125" bestFit="1" customWidth="1"/>
    <col min="5" max="5" width="30.85546875" bestFit="1" customWidth="1"/>
    <col min="6" max="6" width="13.7109375" bestFit="1" customWidth="1"/>
    <col min="7" max="7" width="16.28515625" bestFit="1" customWidth="1"/>
    <col min="8" max="8" width="12.85546875" bestFit="1" customWidth="1"/>
    <col min="9" max="9" width="21.85546875" bestFit="1" customWidth="1"/>
    <col min="10" max="10" width="27.42578125" bestFit="1" customWidth="1"/>
    <col min="11" max="11" width="5.7109375" customWidth="1"/>
    <col min="12" max="12" width="7.140625" bestFit="1" customWidth="1"/>
    <col min="13" max="13" width="40.85546875" bestFit="1" customWidth="1"/>
    <col min="14" max="14" width="8.7109375" bestFit="1" customWidth="1"/>
    <col min="15" max="15" width="45.28515625" bestFit="1" customWidth="1"/>
    <col min="16" max="16" width="5.7109375" customWidth="1"/>
    <col min="17" max="17" width="33.85546875" bestFit="1" customWidth="1"/>
    <col min="18" max="18" width="6.42578125" bestFit="1" customWidth="1"/>
    <col min="19" max="20" width="5.7109375" customWidth="1"/>
    <col min="21" max="21" width="19" bestFit="1" customWidth="1"/>
    <col min="22" max="22" width="9.140625" bestFit="1" customWidth="1"/>
    <col min="23" max="24" width="5.7109375" customWidth="1"/>
    <col min="25" max="25" width="33" bestFit="1" customWidth="1"/>
    <col min="26" max="26" width="12" bestFit="1" customWidth="1"/>
    <col min="27" max="27" width="46.85546875" bestFit="1" customWidth="1"/>
    <col min="28" max="28" width="5.7109375" customWidth="1"/>
    <col min="29" max="29" width="17.28515625" bestFit="1" customWidth="1"/>
    <col min="30" max="30" width="6.42578125" bestFit="1" customWidth="1"/>
    <col min="31" max="32" width="5.7109375" customWidth="1"/>
    <col min="33" max="33" width="24.7109375" bestFit="1" customWidth="1"/>
    <col min="34" max="34" width="6.42578125" bestFit="1" customWidth="1"/>
    <col min="35" max="35" width="157.7109375" bestFit="1" customWidth="1"/>
    <col min="36" max="52" width="5.7109375" customWidth="1"/>
    <col min="54" max="54" width="21.7109375" customWidth="1"/>
    <col min="56" max="56" width="7.7109375" customWidth="1"/>
    <col min="57" max="57" width="37.7109375" customWidth="1"/>
    <col min="58" max="58" width="7.7109375" customWidth="1"/>
    <col min="59" max="59" width="37.7109375" customWidth="1"/>
  </cols>
  <sheetData>
    <row r="1" spans="1:60" s="58" customFormat="1" x14ac:dyDescent="0.25">
      <c r="A1" s="52" t="s">
        <v>270</v>
      </c>
      <c r="B1" s="52" t="s">
        <v>99</v>
      </c>
      <c r="C1" s="52" t="s">
        <v>100</v>
      </c>
      <c r="D1" s="52" t="s">
        <v>318</v>
      </c>
      <c r="E1" s="57" t="s">
        <v>271</v>
      </c>
      <c r="F1" s="57" t="s">
        <v>99</v>
      </c>
      <c r="G1" s="57" t="s">
        <v>100</v>
      </c>
      <c r="H1" s="57" t="s">
        <v>318</v>
      </c>
      <c r="I1" s="52" t="s">
        <v>272</v>
      </c>
      <c r="J1" s="52" t="s">
        <v>99</v>
      </c>
      <c r="K1" s="52" t="s">
        <v>100</v>
      </c>
      <c r="L1" s="52" t="s">
        <v>318</v>
      </c>
      <c r="M1" s="57" t="s">
        <v>273</v>
      </c>
      <c r="N1" s="57" t="s">
        <v>99</v>
      </c>
      <c r="O1" s="57" t="s">
        <v>100</v>
      </c>
      <c r="P1" s="57"/>
      <c r="Q1" s="52" t="s">
        <v>274</v>
      </c>
      <c r="R1" s="52" t="s">
        <v>99</v>
      </c>
      <c r="S1" s="52" t="s">
        <v>100</v>
      </c>
      <c r="T1" s="52" t="s">
        <v>318</v>
      </c>
      <c r="U1" s="57" t="s">
        <v>275</v>
      </c>
      <c r="V1" s="57" t="s">
        <v>99</v>
      </c>
      <c r="W1" s="57" t="s">
        <v>100</v>
      </c>
      <c r="X1" s="57" t="s">
        <v>318</v>
      </c>
      <c r="Y1" s="52" t="s">
        <v>276</v>
      </c>
      <c r="Z1" s="52" t="s">
        <v>99</v>
      </c>
      <c r="AA1" s="52" t="s">
        <v>100</v>
      </c>
      <c r="AB1" s="52" t="s">
        <v>318</v>
      </c>
      <c r="AC1" s="57" t="s">
        <v>277</v>
      </c>
      <c r="AD1" s="57" t="s">
        <v>99</v>
      </c>
      <c r="AE1" s="57" t="s">
        <v>100</v>
      </c>
      <c r="AF1" s="57" t="s">
        <v>318</v>
      </c>
      <c r="AG1" s="52" t="s">
        <v>278</v>
      </c>
      <c r="AH1" s="52" t="s">
        <v>99</v>
      </c>
      <c r="AI1" s="52" t="s">
        <v>100</v>
      </c>
      <c r="AJ1" s="52" t="s">
        <v>318</v>
      </c>
    </row>
    <row r="2" spans="1:60" x14ac:dyDescent="0.25">
      <c r="A2" s="24" t="s">
        <v>5</v>
      </c>
      <c r="B2" s="24"/>
      <c r="C2" s="44"/>
      <c r="D2" s="24"/>
      <c r="E2" s="23" t="s">
        <v>6</v>
      </c>
      <c r="F2" s="23"/>
      <c r="G2" s="23"/>
      <c r="H2" s="23"/>
      <c r="I2" s="24" t="s">
        <v>7</v>
      </c>
      <c r="J2" s="24"/>
      <c r="K2" s="24"/>
      <c r="L2" s="24"/>
      <c r="M2" s="23" t="s">
        <v>8</v>
      </c>
      <c r="N2" s="23">
        <v>2026</v>
      </c>
      <c r="O2" s="23"/>
      <c r="P2" s="23"/>
      <c r="Q2" s="24" t="s">
        <v>39</v>
      </c>
      <c r="R2" s="25">
        <v>0.39583333333333331</v>
      </c>
      <c r="S2" s="24"/>
      <c r="T2" s="24"/>
      <c r="U2" s="23" t="s">
        <v>9</v>
      </c>
      <c r="V2" s="23" t="s">
        <v>10</v>
      </c>
      <c r="W2" s="23"/>
      <c r="X2" s="23"/>
      <c r="Y2" s="24" t="s">
        <v>95</v>
      </c>
      <c r="Z2" s="24" t="s">
        <v>98</v>
      </c>
      <c r="AA2" s="24"/>
      <c r="AB2" s="24"/>
      <c r="AC2" s="23" t="s">
        <v>40</v>
      </c>
      <c r="AD2" s="23"/>
      <c r="AE2" s="23"/>
      <c r="AF2" s="23"/>
      <c r="AG2" s="24" t="s">
        <v>236</v>
      </c>
      <c r="AH2" s="25">
        <v>4.1666666666666666E-3</v>
      </c>
      <c r="AI2" s="24" t="s">
        <v>238</v>
      </c>
      <c r="AJ2" s="24"/>
      <c r="BA2" s="32" t="s">
        <v>282</v>
      </c>
      <c r="BB2" s="66"/>
      <c r="BC2" s="67"/>
      <c r="BD2" s="67"/>
      <c r="BE2" s="67"/>
      <c r="BF2" s="67"/>
      <c r="BG2" s="67"/>
      <c r="BH2" s="32" t="s">
        <v>282</v>
      </c>
    </row>
    <row r="3" spans="1:60" x14ac:dyDescent="0.25">
      <c r="A3" s="24" t="s">
        <v>11</v>
      </c>
      <c r="B3" s="24" t="s">
        <v>283</v>
      </c>
      <c r="C3" s="44"/>
      <c r="D3" s="24"/>
      <c r="E3" s="23" t="s">
        <v>12</v>
      </c>
      <c r="F3" s="23"/>
      <c r="G3" s="23"/>
      <c r="H3" s="23"/>
      <c r="I3" s="24" t="s">
        <v>13</v>
      </c>
      <c r="J3" s="24"/>
      <c r="K3" s="24"/>
      <c r="L3" s="24"/>
      <c r="M3" s="23" t="s">
        <v>14</v>
      </c>
      <c r="N3" s="23" t="s">
        <v>15</v>
      </c>
      <c r="O3" s="23"/>
      <c r="P3" s="23"/>
      <c r="Q3" s="24" t="s">
        <v>42</v>
      </c>
      <c r="R3" s="25">
        <f>R2/1</f>
        <v>0.39583333333333331</v>
      </c>
      <c r="S3" s="24"/>
      <c r="T3" s="24"/>
      <c r="U3" s="23" t="s">
        <v>16</v>
      </c>
      <c r="V3" s="23" t="s">
        <v>17</v>
      </c>
      <c r="W3" s="23"/>
      <c r="X3" s="23"/>
      <c r="Y3" s="24" t="s">
        <v>96</v>
      </c>
      <c r="Z3" s="24" t="s">
        <v>17</v>
      </c>
      <c r="AA3" s="24"/>
      <c r="AB3" s="24"/>
      <c r="AC3" s="23" t="s">
        <v>43</v>
      </c>
      <c r="AD3" s="23"/>
      <c r="AE3" s="23"/>
      <c r="AF3" s="23"/>
      <c r="AG3" s="24" t="s">
        <v>237</v>
      </c>
      <c r="AH3" s="25">
        <v>4.1666666666666664E-2</v>
      </c>
      <c r="AI3" s="24" t="s">
        <v>239</v>
      </c>
      <c r="AJ3" s="24"/>
      <c r="BB3" s="67"/>
      <c r="BC3" s="67"/>
      <c r="BD3" s="67"/>
      <c r="BE3" s="67"/>
      <c r="BF3" s="67"/>
      <c r="BG3" s="67"/>
    </row>
    <row r="4" spans="1:60" x14ac:dyDescent="0.25">
      <c r="A4" s="24" t="s">
        <v>18</v>
      </c>
      <c r="B4" s="38" t="s">
        <v>295</v>
      </c>
      <c r="C4" s="44"/>
      <c r="D4" s="24"/>
      <c r="E4" s="23" t="s">
        <v>19</v>
      </c>
      <c r="F4" s="23"/>
      <c r="G4" s="23"/>
      <c r="H4" s="23"/>
      <c r="I4" s="24" t="s">
        <v>20</v>
      </c>
      <c r="J4" s="24"/>
      <c r="K4" s="24"/>
      <c r="L4" s="24"/>
      <c r="M4" s="23" t="s">
        <v>21</v>
      </c>
      <c r="N4" s="23">
        <v>7</v>
      </c>
      <c r="O4" s="23"/>
      <c r="P4" s="23"/>
      <c r="Q4" s="24" t="s">
        <v>54</v>
      </c>
      <c r="R4" s="25">
        <f>R2/2</f>
        <v>0.19791666666666666</v>
      </c>
      <c r="S4" s="24"/>
      <c r="T4" s="24"/>
      <c r="U4" s="23" t="s">
        <v>22</v>
      </c>
      <c r="V4" s="23" t="s">
        <v>23</v>
      </c>
      <c r="W4" s="23"/>
      <c r="X4" s="23"/>
      <c r="Y4" s="24" t="s">
        <v>92</v>
      </c>
      <c r="Z4" s="24">
        <v>11</v>
      </c>
      <c r="AA4" s="24"/>
      <c r="AB4" s="24"/>
      <c r="AC4" s="23" t="s">
        <v>47</v>
      </c>
      <c r="AD4" s="23"/>
      <c r="AE4" s="23"/>
      <c r="AF4" s="23"/>
      <c r="AG4" s="24"/>
      <c r="AH4" s="24"/>
      <c r="AI4" s="24"/>
      <c r="AJ4" s="24"/>
      <c r="BA4" s="32" t="s">
        <v>282</v>
      </c>
      <c r="BB4" s="67"/>
      <c r="BC4" s="67"/>
      <c r="BD4" s="67"/>
      <c r="BE4" s="67"/>
      <c r="BF4" s="67"/>
      <c r="BG4" s="65"/>
      <c r="BH4" s="32" t="s">
        <v>282</v>
      </c>
    </row>
    <row r="5" spans="1:60" x14ac:dyDescent="0.25">
      <c r="A5" s="24" t="s">
        <v>24</v>
      </c>
      <c r="B5" s="38" t="s">
        <v>296</v>
      </c>
      <c r="C5" s="44"/>
      <c r="D5" s="24"/>
      <c r="E5" s="23" t="s">
        <v>25</v>
      </c>
      <c r="F5" s="23"/>
      <c r="G5" s="23"/>
      <c r="H5" s="23"/>
      <c r="I5" s="24" t="s">
        <v>26</v>
      </c>
      <c r="J5" s="24" t="s">
        <v>27</v>
      </c>
      <c r="K5" s="24"/>
      <c r="L5" s="24"/>
      <c r="M5" s="23" t="s">
        <v>28</v>
      </c>
      <c r="N5" s="23" t="s">
        <v>29</v>
      </c>
      <c r="O5" s="23"/>
      <c r="P5" s="23"/>
      <c r="Q5" s="24" t="s">
        <v>233</v>
      </c>
      <c r="R5" s="25">
        <v>0.5</v>
      </c>
      <c r="S5" s="24"/>
      <c r="T5" s="24"/>
      <c r="U5" s="23" t="s">
        <v>30</v>
      </c>
      <c r="V5" s="23"/>
      <c r="W5" s="23"/>
      <c r="X5" s="23"/>
      <c r="Y5" s="24" t="s">
        <v>93</v>
      </c>
      <c r="Z5" s="24">
        <v>12</v>
      </c>
      <c r="AA5" s="24"/>
      <c r="AB5" s="24"/>
      <c r="AC5" s="23"/>
      <c r="AD5" s="23"/>
      <c r="AE5" s="23"/>
      <c r="AF5" s="23"/>
      <c r="AG5" s="24"/>
      <c r="AH5" s="24"/>
      <c r="AI5" s="24"/>
      <c r="AJ5" s="24"/>
    </row>
    <row r="6" spans="1:60" x14ac:dyDescent="0.25">
      <c r="A6" s="24" t="s">
        <v>37</v>
      </c>
      <c r="B6" s="38" t="s">
        <v>297</v>
      </c>
      <c r="C6" s="44"/>
      <c r="D6" s="24"/>
      <c r="E6" s="23" t="s">
        <v>32</v>
      </c>
      <c r="F6" s="23"/>
      <c r="G6" s="23"/>
      <c r="H6" s="23"/>
      <c r="I6" s="24" t="s">
        <v>33</v>
      </c>
      <c r="J6" s="24" t="s">
        <v>34</v>
      </c>
      <c r="K6" s="24"/>
      <c r="L6" s="24"/>
      <c r="M6" s="23" t="s">
        <v>35</v>
      </c>
      <c r="N6" s="23">
        <v>6</v>
      </c>
      <c r="O6" s="23"/>
      <c r="P6" s="23"/>
      <c r="Q6" s="24" t="s">
        <v>234</v>
      </c>
      <c r="R6" s="25">
        <v>0.54166666666666663</v>
      </c>
      <c r="S6" s="24"/>
      <c r="T6" s="24"/>
      <c r="U6" s="23" t="s">
        <v>36</v>
      </c>
      <c r="V6" s="23"/>
      <c r="W6" s="23"/>
      <c r="X6" s="23"/>
      <c r="Y6" s="24" t="s">
        <v>94</v>
      </c>
      <c r="Z6" s="24">
        <v>4</v>
      </c>
      <c r="AA6" s="24"/>
      <c r="AB6" s="24"/>
      <c r="AC6" s="23"/>
      <c r="AD6" s="23"/>
      <c r="AE6" s="23"/>
      <c r="AF6" s="23"/>
      <c r="AG6" s="24"/>
      <c r="AH6" s="24"/>
      <c r="AI6" s="24"/>
      <c r="AJ6" s="24"/>
    </row>
    <row r="7" spans="1:60" x14ac:dyDescent="0.25">
      <c r="A7" s="24" t="s">
        <v>31</v>
      </c>
      <c r="B7" s="38">
        <v>43900</v>
      </c>
      <c r="C7" s="44"/>
      <c r="D7" s="24"/>
      <c r="E7" s="23" t="s">
        <v>38</v>
      </c>
      <c r="F7" s="23"/>
      <c r="G7" s="23"/>
      <c r="H7" s="23"/>
      <c r="I7" s="24"/>
      <c r="J7" s="24"/>
      <c r="K7" s="24"/>
      <c r="L7" s="24"/>
      <c r="M7" s="23"/>
      <c r="N7" s="23"/>
      <c r="O7" s="23"/>
      <c r="P7" s="23"/>
      <c r="Q7" s="24" t="s">
        <v>55</v>
      </c>
      <c r="R7" s="24" t="s">
        <v>56</v>
      </c>
      <c r="S7" s="24"/>
      <c r="T7" s="24"/>
      <c r="U7" s="23"/>
      <c r="V7" s="23"/>
      <c r="W7" s="23"/>
      <c r="X7" s="23"/>
      <c r="Y7" s="24" t="s">
        <v>97</v>
      </c>
      <c r="Z7" s="24">
        <v>0.01</v>
      </c>
      <c r="AA7" s="24"/>
      <c r="AB7" s="24"/>
      <c r="AC7" s="23"/>
      <c r="AD7" s="23"/>
      <c r="AE7" s="23"/>
      <c r="AF7" s="23"/>
      <c r="AG7" s="24"/>
      <c r="AH7" s="24"/>
      <c r="AI7" s="24"/>
      <c r="AJ7" s="24"/>
    </row>
    <row r="8" spans="1:60" x14ac:dyDescent="0.25">
      <c r="A8" s="24" t="s">
        <v>41</v>
      </c>
      <c r="B8" s="38" t="s">
        <v>298</v>
      </c>
      <c r="C8" s="44"/>
      <c r="D8" s="24"/>
      <c r="E8" s="23" t="s">
        <v>45</v>
      </c>
      <c r="F8" s="23" t="s">
        <v>46</v>
      </c>
      <c r="G8" s="23"/>
      <c r="H8" s="23"/>
      <c r="I8" s="24"/>
      <c r="J8" s="24"/>
      <c r="K8" s="24"/>
      <c r="L8" s="24"/>
      <c r="M8" s="23"/>
      <c r="N8" s="23"/>
      <c r="O8" s="23"/>
      <c r="P8" s="23"/>
      <c r="Q8" s="24"/>
      <c r="R8" s="24"/>
      <c r="S8" s="24"/>
      <c r="T8" s="24"/>
      <c r="U8" s="23"/>
      <c r="V8" s="23"/>
      <c r="W8" s="23"/>
      <c r="X8" s="23"/>
      <c r="Y8" s="24" t="s">
        <v>334</v>
      </c>
      <c r="Z8" s="72">
        <v>26</v>
      </c>
      <c r="AA8" s="24" t="s">
        <v>335</v>
      </c>
      <c r="AB8" s="24"/>
      <c r="AC8" s="23"/>
      <c r="AD8" s="23"/>
      <c r="AE8" s="23"/>
      <c r="AF8" s="23"/>
      <c r="AG8" s="24"/>
      <c r="AH8" s="24"/>
      <c r="AI8" s="24"/>
      <c r="AJ8" s="24"/>
    </row>
    <row r="9" spans="1:60" x14ac:dyDescent="0.25">
      <c r="A9" s="24" t="s">
        <v>44</v>
      </c>
      <c r="B9" s="38" t="s">
        <v>299</v>
      </c>
      <c r="C9" s="44"/>
      <c r="D9" s="24"/>
      <c r="E9" s="23" t="s">
        <v>49</v>
      </c>
      <c r="F9" s="23">
        <v>2</v>
      </c>
      <c r="G9" s="23"/>
      <c r="H9" s="23"/>
      <c r="I9" s="24"/>
      <c r="J9" s="24"/>
      <c r="K9" s="24"/>
      <c r="L9" s="24"/>
      <c r="M9" s="23"/>
      <c r="N9" s="23"/>
      <c r="O9" s="23"/>
      <c r="P9" s="23"/>
      <c r="Q9" s="24"/>
      <c r="R9" s="24"/>
      <c r="S9" s="24"/>
      <c r="T9" s="24"/>
      <c r="U9" s="23"/>
      <c r="V9" s="23"/>
      <c r="W9" s="23"/>
      <c r="X9" s="23"/>
      <c r="Y9" s="24"/>
      <c r="Z9" s="24"/>
      <c r="AA9" s="24"/>
      <c r="AB9" s="24"/>
      <c r="AC9" s="23"/>
      <c r="AD9" s="23"/>
      <c r="AE9" s="23"/>
      <c r="AF9" s="23"/>
      <c r="AG9" s="24"/>
      <c r="AH9" s="24"/>
      <c r="AI9" s="24"/>
      <c r="AJ9" s="24"/>
    </row>
    <row r="10" spans="1:60" x14ac:dyDescent="0.25">
      <c r="A10" s="24" t="s">
        <v>48</v>
      </c>
      <c r="B10" s="38">
        <v>60387051441</v>
      </c>
      <c r="C10" s="44" t="str">
        <f>_xlfn.UNICHAR(9742)&amp;_xlfn.UNICHAR(65038)</f>
        <v>☎︎</v>
      </c>
      <c r="D10" s="24"/>
      <c r="E10" s="23" t="s">
        <v>51</v>
      </c>
      <c r="F10" s="23" t="s">
        <v>52</v>
      </c>
      <c r="G10" s="23"/>
      <c r="H10" s="23"/>
      <c r="I10" s="24"/>
      <c r="J10" s="24"/>
      <c r="K10" s="24"/>
      <c r="L10" s="24"/>
      <c r="M10" s="23"/>
      <c r="N10" s="23"/>
      <c r="O10" s="23"/>
      <c r="P10" s="23"/>
      <c r="Q10" s="24"/>
      <c r="R10" s="24"/>
      <c r="S10" s="24"/>
      <c r="T10" s="24"/>
      <c r="U10" s="23"/>
      <c r="V10" s="23"/>
      <c r="W10" s="23"/>
      <c r="X10" s="23"/>
      <c r="Y10" s="24"/>
      <c r="Z10" s="24"/>
      <c r="AA10" s="24"/>
      <c r="AB10" s="24"/>
      <c r="AC10" s="23"/>
      <c r="AD10" s="23"/>
      <c r="AE10" s="23"/>
      <c r="AF10" s="23"/>
      <c r="AG10" s="24"/>
      <c r="AH10" s="24"/>
      <c r="AI10" s="24"/>
      <c r="AJ10" s="24"/>
    </row>
    <row r="11" spans="1:60" x14ac:dyDescent="0.25">
      <c r="A11" s="24" t="s">
        <v>293</v>
      </c>
      <c r="B11" s="38">
        <v>60138113300</v>
      </c>
      <c r="C11" s="44" t="str">
        <f>_xlfn.UNICHAR(128241)&amp;_xlfn.UNICHAR(65038)</f>
        <v>📱︎</v>
      </c>
      <c r="D11" s="24"/>
      <c r="E11" s="23"/>
      <c r="F11" s="23"/>
      <c r="G11" s="23"/>
      <c r="H11" s="23"/>
      <c r="I11" s="24"/>
      <c r="J11" s="24"/>
      <c r="K11" s="24"/>
      <c r="L11" s="24"/>
      <c r="M11" s="23"/>
      <c r="N11" s="23"/>
      <c r="O11" s="23"/>
      <c r="P11" s="23"/>
      <c r="Q11" s="24"/>
      <c r="R11" s="24"/>
      <c r="S11" s="24"/>
      <c r="T11" s="24"/>
      <c r="U11" s="23"/>
      <c r="V11" s="23"/>
      <c r="W11" s="23"/>
      <c r="X11" s="23"/>
      <c r="Y11" s="24"/>
      <c r="Z11" s="24"/>
      <c r="AA11" s="24"/>
      <c r="AB11" s="24"/>
      <c r="AC11" s="23"/>
      <c r="AD11" s="23"/>
      <c r="AE11" s="23"/>
      <c r="AF11" s="23"/>
      <c r="AG11" s="24"/>
      <c r="AH11" s="24"/>
      <c r="AI11" s="24"/>
      <c r="AJ11" s="24"/>
    </row>
    <row r="12" spans="1:60" x14ac:dyDescent="0.25">
      <c r="A12" s="24" t="s">
        <v>292</v>
      </c>
      <c r="B12" s="39" t="s">
        <v>294</v>
      </c>
      <c r="C12" s="44" t="str">
        <f>_xlfn.UNICHAR(128224)&amp;_xlfn.UNICHAR(65038)</f>
        <v>📠︎</v>
      </c>
      <c r="D12" s="24"/>
      <c r="E12" s="23"/>
      <c r="F12" s="23"/>
      <c r="G12" s="23"/>
      <c r="H12" s="23"/>
      <c r="I12" s="24"/>
      <c r="J12" s="24"/>
      <c r="K12" s="24"/>
      <c r="L12" s="24"/>
      <c r="M12" s="23"/>
      <c r="N12" s="23"/>
      <c r="O12" s="23"/>
      <c r="P12" s="23"/>
      <c r="Q12" s="24"/>
      <c r="R12" s="24"/>
      <c r="S12" s="24"/>
      <c r="T12" s="24"/>
      <c r="U12" s="23"/>
      <c r="V12" s="23"/>
      <c r="W12" s="23"/>
      <c r="X12" s="23"/>
      <c r="Y12" s="24"/>
      <c r="Z12" s="24"/>
      <c r="AA12" s="24"/>
      <c r="AB12" s="24"/>
      <c r="AC12" s="23"/>
      <c r="AD12" s="23"/>
      <c r="AE12" s="23"/>
      <c r="AF12" s="23"/>
      <c r="AG12" s="24"/>
      <c r="AH12" s="24"/>
      <c r="AI12" s="24"/>
      <c r="AJ12" s="24"/>
    </row>
    <row r="13" spans="1:60" x14ac:dyDescent="0.25">
      <c r="A13" s="24" t="s">
        <v>50</v>
      </c>
      <c r="B13" s="24" t="s">
        <v>284</v>
      </c>
      <c r="C13" s="44" t="str">
        <f>_xlfn.UNICHAR(9993)&amp;_xlfn.UNICHAR(65038)</f>
        <v>✉︎</v>
      </c>
      <c r="D13" s="24"/>
      <c r="E13" s="23"/>
      <c r="F13" s="23"/>
      <c r="G13" s="23"/>
      <c r="H13" s="23"/>
      <c r="I13" s="24"/>
      <c r="J13" s="24"/>
      <c r="K13" s="24"/>
      <c r="L13" s="24"/>
      <c r="M13" s="23"/>
      <c r="N13" s="23"/>
      <c r="O13" s="23"/>
      <c r="P13" s="23"/>
      <c r="Q13" s="24"/>
      <c r="R13" s="24"/>
      <c r="S13" s="24"/>
      <c r="T13" s="24"/>
      <c r="U13" s="23"/>
      <c r="V13" s="23"/>
      <c r="W13" s="23"/>
      <c r="X13" s="23"/>
      <c r="Y13" s="24"/>
      <c r="Z13" s="24"/>
      <c r="AA13" s="24"/>
      <c r="AB13" s="24"/>
      <c r="AC13" s="23"/>
      <c r="AD13" s="23"/>
      <c r="AE13" s="23"/>
      <c r="AF13" s="23"/>
      <c r="AG13" s="24"/>
      <c r="AH13" s="24"/>
      <c r="AI13" s="24"/>
      <c r="AJ13" s="24"/>
    </row>
    <row r="14" spans="1:60" x14ac:dyDescent="0.25">
      <c r="A14" s="24" t="s">
        <v>53</v>
      </c>
      <c r="B14" s="24" t="s">
        <v>285</v>
      </c>
      <c r="C14" s="44" t="str">
        <f>_xlfn.UNICHAR(127760)&amp;_xlfn.UNICHAR(65038)</f>
        <v>🌐︎</v>
      </c>
      <c r="D14" s="24"/>
      <c r="E14" s="23"/>
      <c r="F14" s="23"/>
      <c r="G14" s="23"/>
      <c r="H14" s="23"/>
      <c r="I14" s="24"/>
      <c r="J14" s="24"/>
      <c r="K14" s="24"/>
      <c r="L14" s="24"/>
      <c r="M14" s="23"/>
      <c r="N14" s="23"/>
      <c r="O14" s="23"/>
      <c r="P14" s="23"/>
      <c r="Q14" s="24"/>
      <c r="R14" s="24"/>
      <c r="S14" s="24"/>
      <c r="T14" s="24"/>
      <c r="U14" s="23"/>
      <c r="V14" s="23"/>
      <c r="W14" s="23"/>
      <c r="X14" s="23"/>
      <c r="Y14" s="24"/>
      <c r="Z14" s="24"/>
      <c r="AA14" s="24"/>
      <c r="AB14" s="24"/>
      <c r="AC14" s="23"/>
      <c r="AD14" s="23"/>
      <c r="AE14" s="23"/>
      <c r="AF14" s="23"/>
      <c r="AG14" s="24"/>
      <c r="AH14" s="24"/>
      <c r="AI14" s="24"/>
      <c r="AJ14" s="24"/>
    </row>
    <row r="15" spans="1:60" x14ac:dyDescent="0.25">
      <c r="A15" s="24" t="s">
        <v>286</v>
      </c>
      <c r="B15" s="39" t="s">
        <v>289</v>
      </c>
      <c r="C15" s="44" t="str">
        <f>_xlfn.UNICHAR(9834)</f>
        <v>♪</v>
      </c>
      <c r="D15" s="24"/>
      <c r="E15" s="23"/>
      <c r="F15" s="23"/>
      <c r="G15" s="23"/>
      <c r="H15" s="23"/>
      <c r="I15" s="24"/>
      <c r="J15" s="24"/>
      <c r="K15" s="24"/>
      <c r="L15" s="24"/>
      <c r="M15" s="23"/>
      <c r="N15" s="23"/>
      <c r="O15" s="23"/>
      <c r="P15" s="23"/>
      <c r="Q15" s="24"/>
      <c r="R15" s="24"/>
      <c r="S15" s="24"/>
      <c r="T15" s="24"/>
      <c r="U15" s="23"/>
      <c r="V15" s="23"/>
      <c r="W15" s="23"/>
      <c r="X15" s="23"/>
      <c r="Y15" s="24"/>
      <c r="Z15" s="24"/>
      <c r="AA15" s="24"/>
      <c r="AB15" s="24"/>
      <c r="AC15" s="23"/>
      <c r="AD15" s="23"/>
      <c r="AE15" s="23"/>
      <c r="AF15" s="23"/>
      <c r="AG15" s="24"/>
      <c r="AH15" s="24"/>
      <c r="AI15" s="24"/>
      <c r="AJ15" s="24"/>
    </row>
    <row r="16" spans="1:60" x14ac:dyDescent="0.25">
      <c r="A16" s="24" t="s">
        <v>287</v>
      </c>
      <c r="B16" s="39" t="s">
        <v>302</v>
      </c>
      <c r="C16" s="44" t="str">
        <f>_xlfn.UNICHAR(9403)</f>
        <v>Ⓕ</v>
      </c>
      <c r="D16" s="24"/>
      <c r="E16" s="23"/>
      <c r="F16" s="23"/>
      <c r="G16" s="23"/>
      <c r="H16" s="23"/>
      <c r="I16" s="24"/>
      <c r="J16" s="24"/>
      <c r="K16" s="24"/>
      <c r="L16" s="24"/>
      <c r="M16" s="23"/>
      <c r="N16" s="23"/>
      <c r="O16" s="23"/>
      <c r="P16" s="23"/>
      <c r="Q16" s="24"/>
      <c r="R16" s="24"/>
      <c r="S16" s="24"/>
      <c r="T16" s="24"/>
      <c r="U16" s="23"/>
      <c r="V16" s="23"/>
      <c r="W16" s="23"/>
      <c r="X16" s="23"/>
      <c r="Y16" s="24"/>
      <c r="Z16" s="24"/>
      <c r="AA16" s="24"/>
      <c r="AB16" s="24"/>
      <c r="AC16" s="23"/>
      <c r="AD16" s="23"/>
      <c r="AE16" s="23"/>
      <c r="AF16" s="23"/>
      <c r="AG16" s="24"/>
      <c r="AH16" s="24"/>
      <c r="AI16" s="24"/>
      <c r="AJ16" s="24"/>
    </row>
    <row r="17" spans="1:36" x14ac:dyDescent="0.25">
      <c r="A17" s="24" t="s">
        <v>288</v>
      </c>
      <c r="B17" s="39" t="s">
        <v>289</v>
      </c>
      <c r="C17" s="44" t="str">
        <f>_xlfn.UNICHAR(128247)&amp;_xlfn.UNICHAR(65038)</f>
        <v>📷︎</v>
      </c>
      <c r="D17" s="24"/>
      <c r="E17" s="23"/>
      <c r="F17" s="23"/>
      <c r="G17" s="23"/>
      <c r="H17" s="23"/>
      <c r="I17" s="24"/>
      <c r="J17" s="24"/>
      <c r="K17" s="24"/>
      <c r="L17" s="24"/>
      <c r="M17" s="23"/>
      <c r="N17" s="23"/>
      <c r="O17" s="23"/>
      <c r="P17" s="23"/>
      <c r="Q17" s="24"/>
      <c r="R17" s="24"/>
      <c r="S17" s="24"/>
      <c r="T17" s="24"/>
      <c r="U17" s="23"/>
      <c r="V17" s="23"/>
      <c r="W17" s="23"/>
      <c r="X17" s="23"/>
      <c r="Y17" s="24"/>
      <c r="Z17" s="24"/>
      <c r="AA17" s="24"/>
      <c r="AB17" s="24"/>
      <c r="AC17" s="23"/>
      <c r="AD17" s="23"/>
      <c r="AE17" s="23"/>
      <c r="AF17" s="23"/>
      <c r="AG17" s="24"/>
      <c r="AH17" s="24"/>
      <c r="AI17" s="24"/>
      <c r="AJ17" s="24"/>
    </row>
    <row r="18" spans="1:36" x14ac:dyDescent="0.25">
      <c r="A18" s="24" t="s">
        <v>290</v>
      </c>
      <c r="B18" s="39" t="s">
        <v>289</v>
      </c>
      <c r="C18" s="44" t="str">
        <f>_xlfn.UNICHAR(9654)</f>
        <v>▶</v>
      </c>
      <c r="D18" s="24"/>
      <c r="E18" s="23"/>
      <c r="F18" s="23"/>
      <c r="G18" s="23"/>
      <c r="H18" s="23"/>
      <c r="I18" s="24"/>
      <c r="J18" s="24"/>
      <c r="K18" s="24"/>
      <c r="L18" s="24"/>
      <c r="M18" s="23"/>
      <c r="N18" s="23"/>
      <c r="O18" s="23"/>
      <c r="P18" s="23"/>
      <c r="Q18" s="24"/>
      <c r="R18" s="24"/>
      <c r="S18" s="24"/>
      <c r="T18" s="24"/>
      <c r="U18" s="23"/>
      <c r="V18" s="23"/>
      <c r="W18" s="23"/>
      <c r="X18" s="23"/>
      <c r="Y18" s="24"/>
      <c r="Z18" s="24"/>
      <c r="AA18" s="24"/>
      <c r="AB18" s="24"/>
      <c r="AC18" s="23"/>
      <c r="AD18" s="23"/>
      <c r="AE18" s="23"/>
      <c r="AF18" s="23"/>
      <c r="AG18" s="24"/>
      <c r="AH18" s="24"/>
      <c r="AI18" s="24"/>
      <c r="AJ18" s="24"/>
    </row>
    <row r="19" spans="1:36" x14ac:dyDescent="0.25">
      <c r="A19" s="24" t="s">
        <v>291</v>
      </c>
      <c r="B19" s="39" t="s">
        <v>302</v>
      </c>
      <c r="C19" s="44" t="str">
        <f>_xlfn.UNICHAR(128038)&amp;_xlfn.UNICHAR(65038)</f>
        <v>🐦︎</v>
      </c>
      <c r="D19" s="24"/>
      <c r="E19" s="23"/>
      <c r="F19" s="23"/>
      <c r="G19" s="23"/>
      <c r="H19" s="23"/>
      <c r="I19" s="24"/>
      <c r="J19" s="24"/>
      <c r="K19" s="24"/>
      <c r="L19" s="24"/>
      <c r="M19" s="23"/>
      <c r="N19" s="23"/>
      <c r="O19" s="23"/>
      <c r="P19" s="23"/>
      <c r="Q19" s="24"/>
      <c r="R19" s="24"/>
      <c r="S19" s="24"/>
      <c r="T19" s="24"/>
      <c r="U19" s="23"/>
      <c r="V19" s="23"/>
      <c r="W19" s="23"/>
      <c r="X19" s="23"/>
      <c r="Y19" s="24"/>
      <c r="Z19" s="24"/>
      <c r="AA19" s="24"/>
      <c r="AB19" s="24"/>
      <c r="AC19" s="23"/>
      <c r="AD19" s="23"/>
      <c r="AE19" s="23"/>
      <c r="AF19" s="23"/>
      <c r="AG19" s="24"/>
      <c r="AH19" s="24"/>
      <c r="AI19" s="24"/>
      <c r="AJ19" s="24"/>
    </row>
    <row r="20" spans="1:36" x14ac:dyDescent="0.25">
      <c r="A20" s="24"/>
      <c r="B20" s="39"/>
      <c r="C20" s="44"/>
      <c r="D20" s="24"/>
      <c r="E20" s="23"/>
      <c r="F20" s="23"/>
      <c r="G20" s="23"/>
      <c r="H20" s="23"/>
      <c r="I20" s="24"/>
      <c r="J20" s="24"/>
      <c r="K20" s="24"/>
      <c r="L20" s="24"/>
      <c r="M20" s="23"/>
      <c r="N20" s="23"/>
      <c r="O20" s="23"/>
      <c r="P20" s="23"/>
      <c r="Q20" s="24"/>
      <c r="R20" s="24"/>
      <c r="S20" s="24"/>
      <c r="T20" s="24"/>
      <c r="U20" s="23"/>
      <c r="V20" s="23"/>
      <c r="W20" s="23"/>
      <c r="X20" s="23"/>
      <c r="Y20" s="24"/>
      <c r="Z20" s="24"/>
      <c r="AA20" s="24"/>
      <c r="AB20" s="24"/>
      <c r="AC20" s="23"/>
      <c r="AD20" s="23"/>
      <c r="AE20" s="23"/>
      <c r="AF20" s="23"/>
      <c r="AG20" s="24"/>
      <c r="AH20" s="24"/>
      <c r="AI20" s="24"/>
      <c r="AJ20" s="24"/>
    </row>
    <row r="21" spans="1:36" x14ac:dyDescent="0.25">
      <c r="A21" s="24"/>
      <c r="B21" s="24"/>
      <c r="C21" s="44"/>
      <c r="D21" s="24"/>
      <c r="E21" s="23"/>
      <c r="F21" s="23"/>
      <c r="G21" s="23"/>
      <c r="H21" s="23"/>
      <c r="I21" s="24"/>
      <c r="J21" s="24"/>
      <c r="K21" s="24"/>
      <c r="L21" s="24"/>
      <c r="M21" s="23"/>
      <c r="N21" s="23"/>
      <c r="O21" s="23"/>
      <c r="P21" s="23"/>
      <c r="Q21" s="24"/>
      <c r="R21" s="24"/>
      <c r="S21" s="24"/>
      <c r="T21" s="24"/>
      <c r="U21" s="23"/>
      <c r="V21" s="23"/>
      <c r="W21" s="23"/>
      <c r="X21" s="23"/>
      <c r="Y21" s="24"/>
      <c r="Z21" s="24"/>
      <c r="AA21" s="24"/>
      <c r="AB21" s="24"/>
      <c r="AC21" s="23"/>
      <c r="AD21" s="23"/>
      <c r="AE21" s="23"/>
      <c r="AF21" s="23"/>
      <c r="AG21" s="24"/>
      <c r="AH21" s="24"/>
      <c r="AI21" s="24"/>
      <c r="AJ21" s="24"/>
    </row>
    <row r="22" spans="1:36" x14ac:dyDescent="0.25">
      <c r="A22" s="24"/>
      <c r="B22" s="24"/>
      <c r="C22" s="44"/>
      <c r="D22" s="24"/>
      <c r="E22" s="23"/>
      <c r="F22" s="23"/>
      <c r="G22" s="23"/>
      <c r="H22" s="23"/>
      <c r="I22" s="24"/>
      <c r="J22" s="24"/>
      <c r="K22" s="24"/>
      <c r="L22" s="24"/>
      <c r="M22" s="23"/>
      <c r="N22" s="23"/>
      <c r="O22" s="23"/>
      <c r="P22" s="23"/>
      <c r="Q22" s="24"/>
      <c r="R22" s="24"/>
      <c r="S22" s="24"/>
      <c r="T22" s="24"/>
      <c r="U22" s="23"/>
      <c r="V22" s="23"/>
      <c r="W22" s="23"/>
      <c r="X22" s="23"/>
      <c r="Y22" s="24"/>
      <c r="Z22" s="24"/>
      <c r="AA22" s="24"/>
      <c r="AB22" s="24"/>
      <c r="AC22" s="23"/>
      <c r="AD22" s="23"/>
      <c r="AE22" s="23"/>
      <c r="AF22" s="23"/>
      <c r="AG22" s="24"/>
      <c r="AH22" s="24"/>
      <c r="AI22" s="24"/>
      <c r="AJ22" s="24"/>
    </row>
    <row r="23" spans="1:36" x14ac:dyDescent="0.25">
      <c r="A23" s="24"/>
      <c r="B23" s="24"/>
      <c r="C23" s="44"/>
      <c r="D23" s="24"/>
      <c r="E23" s="23"/>
      <c r="F23" s="23"/>
      <c r="G23" s="23"/>
      <c r="H23" s="23"/>
      <c r="I23" s="24"/>
      <c r="J23" s="24"/>
      <c r="K23" s="24"/>
      <c r="L23" s="24"/>
      <c r="M23" s="23"/>
      <c r="N23" s="23"/>
      <c r="O23" s="23"/>
      <c r="P23" s="23"/>
      <c r="Q23" s="24"/>
      <c r="R23" s="24"/>
      <c r="S23" s="24"/>
      <c r="T23" s="24"/>
      <c r="U23" s="23"/>
      <c r="V23" s="23"/>
      <c r="W23" s="23"/>
      <c r="X23" s="23"/>
      <c r="Y23" s="24"/>
      <c r="Z23" s="24"/>
      <c r="AA23" s="24"/>
      <c r="AB23" s="24"/>
      <c r="AC23" s="23"/>
      <c r="AD23" s="23"/>
      <c r="AE23" s="23"/>
      <c r="AF23" s="23"/>
      <c r="AG23" s="24"/>
      <c r="AH23" s="24"/>
      <c r="AI23" s="24"/>
      <c r="AJ23" s="24"/>
    </row>
    <row r="24" spans="1:36" x14ac:dyDescent="0.25">
      <c r="A24" s="24"/>
      <c r="B24" s="24"/>
      <c r="C24" s="44"/>
      <c r="D24" s="24"/>
      <c r="E24" s="23"/>
      <c r="F24" s="23"/>
      <c r="G24" s="23"/>
      <c r="H24" s="23"/>
      <c r="I24" s="24"/>
      <c r="J24" s="24"/>
      <c r="K24" s="24"/>
      <c r="L24" s="24"/>
      <c r="M24" s="23"/>
      <c r="N24" s="23"/>
      <c r="O24" s="23"/>
      <c r="P24" s="23"/>
      <c r="Q24" s="24"/>
      <c r="R24" s="24"/>
      <c r="S24" s="24"/>
      <c r="T24" s="24"/>
      <c r="U24" s="23"/>
      <c r="V24" s="23"/>
      <c r="W24" s="23"/>
      <c r="X24" s="23"/>
      <c r="Y24" s="24"/>
      <c r="Z24" s="24"/>
      <c r="AA24" s="24"/>
      <c r="AB24" s="24"/>
      <c r="AC24" s="23"/>
      <c r="AD24" s="23"/>
      <c r="AE24" s="23"/>
      <c r="AF24" s="23"/>
      <c r="AG24" s="24"/>
      <c r="AH24" s="24"/>
      <c r="AI24" s="24"/>
      <c r="AJ24" s="24"/>
    </row>
    <row r="25" spans="1:36" x14ac:dyDescent="0.25">
      <c r="A25" s="24"/>
      <c r="B25" s="24"/>
      <c r="C25" s="44"/>
      <c r="D25" s="24"/>
      <c r="E25" s="23"/>
      <c r="F25" s="23"/>
      <c r="G25" s="23"/>
      <c r="H25" s="23"/>
      <c r="I25" s="24"/>
      <c r="J25" s="24"/>
      <c r="K25" s="24"/>
      <c r="L25" s="24"/>
      <c r="M25" s="23"/>
      <c r="N25" s="23"/>
      <c r="O25" s="23"/>
      <c r="P25" s="23"/>
      <c r="Q25" s="24"/>
      <c r="R25" s="24"/>
      <c r="S25" s="24"/>
      <c r="T25" s="24"/>
      <c r="U25" s="23"/>
      <c r="V25" s="23"/>
      <c r="W25" s="23"/>
      <c r="X25" s="23"/>
      <c r="Y25" s="24"/>
      <c r="Z25" s="24"/>
      <c r="AA25" s="24"/>
      <c r="AB25" s="24"/>
      <c r="AC25" s="23"/>
      <c r="AD25" s="23"/>
      <c r="AE25" s="23"/>
      <c r="AF25" s="23"/>
      <c r="AG25" s="24"/>
      <c r="AH25" s="24"/>
      <c r="AI25" s="24"/>
      <c r="AJ25" s="24"/>
    </row>
    <row r="26" spans="1:36" x14ac:dyDescent="0.25">
      <c r="A26" s="24"/>
      <c r="B26" s="24"/>
      <c r="C26" s="44"/>
      <c r="D26" s="24"/>
      <c r="E26" s="23"/>
      <c r="F26" s="23"/>
      <c r="G26" s="23"/>
      <c r="H26" s="23"/>
      <c r="I26" s="24"/>
      <c r="J26" s="24"/>
      <c r="K26" s="24"/>
      <c r="L26" s="24"/>
      <c r="M26" s="23"/>
      <c r="N26" s="23"/>
      <c r="O26" s="23"/>
      <c r="P26" s="23"/>
      <c r="Q26" s="24"/>
      <c r="R26" s="24"/>
      <c r="S26" s="24"/>
      <c r="T26" s="24"/>
      <c r="U26" s="23"/>
      <c r="V26" s="23"/>
      <c r="W26" s="23"/>
      <c r="X26" s="23"/>
      <c r="Y26" s="24"/>
      <c r="Z26" s="24"/>
      <c r="AA26" s="24"/>
      <c r="AB26" s="24"/>
      <c r="AC26" s="23"/>
      <c r="AD26" s="23"/>
      <c r="AE26" s="23"/>
      <c r="AF26" s="23"/>
      <c r="AG26" s="24"/>
      <c r="AH26" s="24"/>
      <c r="AI26" s="24"/>
      <c r="AJ26" s="24"/>
    </row>
    <row r="27" spans="1:36" x14ac:dyDescent="0.25">
      <c r="A27" s="24"/>
      <c r="B27" s="24"/>
      <c r="C27" s="44"/>
      <c r="D27" s="24"/>
      <c r="E27" s="23"/>
      <c r="F27" s="23"/>
      <c r="G27" s="23"/>
      <c r="H27" s="23"/>
      <c r="I27" s="24"/>
      <c r="J27" s="24"/>
      <c r="K27" s="24"/>
      <c r="L27" s="24"/>
      <c r="M27" s="23"/>
      <c r="N27" s="23"/>
      <c r="O27" s="23"/>
      <c r="P27" s="23"/>
      <c r="Q27" s="24"/>
      <c r="R27" s="24"/>
      <c r="S27" s="24"/>
      <c r="T27" s="24"/>
      <c r="U27" s="23"/>
      <c r="V27" s="23"/>
      <c r="W27" s="23"/>
      <c r="X27" s="23"/>
      <c r="Y27" s="24"/>
      <c r="Z27" s="24"/>
      <c r="AA27" s="24"/>
      <c r="AB27" s="24"/>
      <c r="AC27" s="23"/>
      <c r="AD27" s="23"/>
      <c r="AE27" s="23"/>
      <c r="AF27" s="23"/>
      <c r="AG27" s="24"/>
      <c r="AH27" s="24"/>
      <c r="AI27" s="24"/>
      <c r="AJ27" s="24"/>
    </row>
    <row r="28" spans="1:36" x14ac:dyDescent="0.25">
      <c r="A28" s="24"/>
      <c r="B28" s="24"/>
      <c r="C28" s="44"/>
      <c r="D28" s="24"/>
      <c r="E28" s="23"/>
      <c r="F28" s="23"/>
      <c r="G28" s="23"/>
      <c r="H28" s="23"/>
      <c r="I28" s="24"/>
      <c r="J28" s="24"/>
      <c r="K28" s="24"/>
      <c r="L28" s="24"/>
      <c r="M28" s="23"/>
      <c r="N28" s="23"/>
      <c r="O28" s="23"/>
      <c r="P28" s="23"/>
      <c r="Q28" s="24"/>
      <c r="R28" s="24"/>
      <c r="S28" s="24"/>
      <c r="T28" s="24"/>
      <c r="U28" s="23"/>
      <c r="V28" s="23"/>
      <c r="W28" s="23"/>
      <c r="X28" s="23"/>
      <c r="Y28" s="24"/>
      <c r="Z28" s="24"/>
      <c r="AA28" s="24"/>
      <c r="AB28" s="24"/>
      <c r="AC28" s="23"/>
      <c r="AD28" s="23"/>
      <c r="AE28" s="23"/>
      <c r="AF28" s="23"/>
      <c r="AG28" s="24"/>
      <c r="AH28" s="24"/>
      <c r="AI28" s="24"/>
      <c r="AJ28" s="24"/>
    </row>
    <row r="29" spans="1:36" x14ac:dyDescent="0.25">
      <c r="A29" s="24" t="s">
        <v>300</v>
      </c>
      <c r="B29" s="24"/>
      <c r="C29" s="44"/>
      <c r="D29" s="24"/>
      <c r="E29" s="23"/>
      <c r="F29" s="23"/>
      <c r="G29" s="23"/>
      <c r="H29" s="23"/>
      <c r="I29" s="24"/>
      <c r="J29" s="24"/>
      <c r="K29" s="24"/>
      <c r="L29" s="24"/>
      <c r="M29" s="23"/>
      <c r="N29" s="23"/>
      <c r="O29" s="23"/>
      <c r="P29" s="23"/>
      <c r="Q29" s="24"/>
      <c r="R29" s="24"/>
      <c r="S29" s="24"/>
      <c r="T29" s="24"/>
      <c r="U29" s="23"/>
      <c r="V29" s="23"/>
      <c r="W29" s="23"/>
      <c r="X29" s="23"/>
      <c r="Y29" s="24"/>
      <c r="Z29" s="24"/>
      <c r="AA29" s="24"/>
      <c r="AB29" s="24"/>
      <c r="AC29" s="23"/>
      <c r="AD29" s="23"/>
      <c r="AE29" s="23"/>
      <c r="AF29" s="23"/>
      <c r="AG29" s="24"/>
      <c r="AH29" s="24"/>
      <c r="AI29" s="24"/>
      <c r="AJ29" s="24"/>
    </row>
    <row r="31" spans="1:36" ht="30" x14ac:dyDescent="0.25">
      <c r="A31" s="94" t="s">
        <v>57</v>
      </c>
      <c r="B31" s="94" t="s">
        <v>58</v>
      </c>
      <c r="C31" s="94" t="s">
        <v>59</v>
      </c>
      <c r="D31" s="94" t="s">
        <v>360</v>
      </c>
      <c r="E31" s="94" t="s">
        <v>60</v>
      </c>
      <c r="F31" s="94" t="s">
        <v>345</v>
      </c>
      <c r="G31" s="94" t="s">
        <v>346</v>
      </c>
      <c r="H31" s="94" t="s">
        <v>61</v>
      </c>
      <c r="I31" s="94" t="s">
        <v>62</v>
      </c>
      <c r="J31" s="94" t="s">
        <v>63</v>
      </c>
      <c r="K31" s="33"/>
      <c r="L31" s="103"/>
      <c r="M31" s="108"/>
      <c r="N31" s="108"/>
      <c r="O31" s="108"/>
    </row>
    <row r="32" spans="1:36" x14ac:dyDescent="0.25">
      <c r="A32" s="96" t="s">
        <v>349</v>
      </c>
      <c r="B32" s="95" t="s">
        <v>352</v>
      </c>
      <c r="C32" s="95">
        <v>300</v>
      </c>
      <c r="D32" s="23" t="s">
        <v>361</v>
      </c>
      <c r="E32" s="95" t="s">
        <v>64</v>
      </c>
      <c r="F32" s="95"/>
      <c r="G32" s="95"/>
      <c r="H32" s="95" t="s">
        <v>56</v>
      </c>
      <c r="I32" s="95" t="s">
        <v>56</v>
      </c>
      <c r="J32" s="95" t="s">
        <v>56</v>
      </c>
      <c r="K32" s="33"/>
      <c r="L32" s="104"/>
      <c r="M32" s="109"/>
      <c r="N32" s="109"/>
      <c r="O32" s="109"/>
    </row>
    <row r="33" spans="1:15" x14ac:dyDescent="0.25">
      <c r="A33" s="96" t="s">
        <v>350</v>
      </c>
      <c r="B33" s="95" t="s">
        <v>347</v>
      </c>
      <c r="C33" s="95">
        <v>200</v>
      </c>
      <c r="D33" s="23" t="s">
        <v>362</v>
      </c>
      <c r="E33" s="95" t="s">
        <v>65</v>
      </c>
      <c r="F33" s="95"/>
      <c r="G33" s="95"/>
      <c r="H33" s="95" t="s">
        <v>17</v>
      </c>
      <c r="I33" s="95" t="s">
        <v>17</v>
      </c>
      <c r="J33" s="95" t="s">
        <v>17</v>
      </c>
      <c r="K33" s="33"/>
      <c r="L33" s="104"/>
      <c r="M33" s="109"/>
      <c r="N33" s="109"/>
      <c r="O33" s="109"/>
    </row>
    <row r="34" spans="1:15" x14ac:dyDescent="0.25">
      <c r="A34" s="96" t="s">
        <v>351</v>
      </c>
      <c r="B34" s="95" t="s">
        <v>348</v>
      </c>
      <c r="C34" s="95">
        <v>100</v>
      </c>
      <c r="D34" s="23" t="s">
        <v>362</v>
      </c>
      <c r="E34" s="95" t="s">
        <v>66</v>
      </c>
      <c r="F34" s="95"/>
      <c r="G34" s="95"/>
      <c r="H34" s="95" t="s">
        <v>17</v>
      </c>
      <c r="I34" s="95" t="s">
        <v>17</v>
      </c>
      <c r="J34" s="95" t="s">
        <v>17</v>
      </c>
      <c r="L34" s="105"/>
    </row>
    <row r="35" spans="1:15" x14ac:dyDescent="0.25">
      <c r="A35" s="96" t="s">
        <v>353</v>
      </c>
      <c r="B35" s="23"/>
      <c r="C35" s="23"/>
      <c r="D35" s="23" t="s">
        <v>362</v>
      </c>
      <c r="E35" s="23"/>
      <c r="F35" s="23"/>
      <c r="G35" s="23"/>
      <c r="H35" s="23"/>
      <c r="I35" s="23"/>
      <c r="J35" s="23"/>
      <c r="L35" s="106"/>
    </row>
    <row r="36" spans="1:15" x14ac:dyDescent="0.25">
      <c r="A36" s="96" t="s">
        <v>354</v>
      </c>
      <c r="B36" s="23"/>
      <c r="C36" s="23"/>
      <c r="D36" s="23" t="s">
        <v>362</v>
      </c>
      <c r="E36" s="23"/>
      <c r="F36" s="23"/>
      <c r="G36" s="23"/>
      <c r="H36" s="23"/>
      <c r="I36" s="23"/>
      <c r="J36" s="23"/>
      <c r="L36" s="106"/>
    </row>
    <row r="37" spans="1:15" x14ac:dyDescent="0.25">
      <c r="A37" s="96" t="s">
        <v>355</v>
      </c>
      <c r="B37" s="23"/>
      <c r="C37" s="23"/>
      <c r="D37" s="23" t="s">
        <v>362</v>
      </c>
      <c r="E37" s="23"/>
      <c r="F37" s="23"/>
      <c r="G37" s="23"/>
      <c r="H37" s="23"/>
      <c r="I37" s="23"/>
      <c r="J37" s="23"/>
      <c r="L37" s="106"/>
    </row>
    <row r="38" spans="1:15" x14ac:dyDescent="0.25">
      <c r="A38" s="96" t="s">
        <v>356</v>
      </c>
      <c r="B38" s="23"/>
      <c r="C38" s="23"/>
      <c r="D38" s="23" t="s">
        <v>362</v>
      </c>
      <c r="E38" s="23"/>
      <c r="F38" s="23"/>
      <c r="G38" s="23"/>
      <c r="H38" s="23"/>
      <c r="I38" s="23"/>
      <c r="J38" s="23"/>
      <c r="L38" s="106"/>
    </row>
    <row r="39" spans="1:15" x14ac:dyDescent="0.25">
      <c r="A39" s="96" t="s">
        <v>357</v>
      </c>
      <c r="B39" s="23"/>
      <c r="C39" s="23"/>
      <c r="D39" s="23" t="s">
        <v>362</v>
      </c>
      <c r="E39" s="23"/>
      <c r="F39" s="23"/>
      <c r="G39" s="23"/>
      <c r="H39" s="23"/>
      <c r="I39" s="23"/>
      <c r="J39" s="23"/>
      <c r="L39" s="106"/>
    </row>
    <row r="40" spans="1:15" x14ac:dyDescent="0.25">
      <c r="A40" s="96" t="s">
        <v>358</v>
      </c>
      <c r="B40" s="23"/>
      <c r="C40" s="23"/>
      <c r="D40" s="23" t="s">
        <v>362</v>
      </c>
      <c r="E40" s="23"/>
      <c r="F40" s="23"/>
      <c r="G40" s="23"/>
      <c r="H40" s="23"/>
      <c r="I40" s="23"/>
      <c r="J40" s="23"/>
      <c r="L40" s="106"/>
    </row>
    <row r="41" spans="1:15" x14ac:dyDescent="0.25">
      <c r="A41" s="96" t="s">
        <v>359</v>
      </c>
      <c r="B41" s="23"/>
      <c r="C41" s="23"/>
      <c r="D41" s="23" t="s">
        <v>362</v>
      </c>
      <c r="E41" s="23"/>
      <c r="F41" s="23"/>
      <c r="G41" s="23"/>
      <c r="H41" s="23"/>
      <c r="I41" s="23"/>
      <c r="J41" s="23"/>
      <c r="L41" s="106"/>
    </row>
    <row r="42" spans="1:15" x14ac:dyDescent="0.25">
      <c r="L42" s="105"/>
    </row>
    <row r="43" spans="1:15" x14ac:dyDescent="0.25">
      <c r="L43" s="105"/>
    </row>
    <row r="44" spans="1:15" x14ac:dyDescent="0.25">
      <c r="L44" s="105"/>
    </row>
    <row r="45" spans="1:15" x14ac:dyDescent="0.25">
      <c r="J45" t="s">
        <v>443</v>
      </c>
    </row>
  </sheetData>
  <phoneticPr fontId="3" type="noConversion"/>
  <pageMargins left="0.7" right="0.7" top="0.75" bottom="0.75" header="0.3" footer="0.3"/>
  <pageSetup orientation="portrait" horizontalDpi="1200" verticalDpi="1200" r:id="rId1"/>
  <ignoredErrors>
    <ignoredError sqref="B12" numberStoredAsText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F0A4-8A17-4106-9427-29DC9E64154F}">
  <sheetPr codeName="Sheet3"/>
  <dimension ref="A1:AO44"/>
  <sheetViews>
    <sheetView zoomScale="75" zoomScaleNormal="75" workbookViewId="0">
      <selection activeCell="E1" sqref="E1:H22"/>
    </sheetView>
  </sheetViews>
  <sheetFormatPr defaultRowHeight="15" x14ac:dyDescent="0.25"/>
  <cols>
    <col min="1" max="1" width="21.140625" bestFit="1" customWidth="1"/>
    <col min="2" max="2" width="37.140625" bestFit="1" customWidth="1"/>
    <col min="3" max="3" width="33.28515625" bestFit="1" customWidth="1"/>
    <col min="4" max="4" width="5.7109375" customWidth="1"/>
    <col min="5" max="5" width="24.140625" bestFit="1" customWidth="1"/>
    <col min="6" max="6" width="12" bestFit="1" customWidth="1"/>
    <col min="7" max="7" width="41.85546875" bestFit="1" customWidth="1"/>
    <col min="8" max="8" width="9.42578125" bestFit="1" customWidth="1"/>
    <col min="9" max="9" width="30.85546875" bestFit="1" customWidth="1"/>
    <col min="10" max="10" width="6.42578125" bestFit="1" customWidth="1"/>
    <col min="11" max="11" width="34.28515625" bestFit="1" customWidth="1"/>
    <col min="12" max="12" width="5.7109375" customWidth="1"/>
    <col min="13" max="13" width="27.5703125" bestFit="1" customWidth="1"/>
    <col min="14" max="14" width="12.7109375" bestFit="1" customWidth="1"/>
    <col min="15" max="15" width="9.140625" bestFit="1" customWidth="1"/>
    <col min="16" max="16" width="5.7109375" customWidth="1"/>
    <col min="17" max="17" width="29.42578125" bestFit="1" customWidth="1"/>
    <col min="18" max="18" width="9.28515625" style="71" bestFit="1" customWidth="1"/>
    <col min="19" max="19" width="51.85546875" bestFit="1" customWidth="1"/>
    <col min="20" max="20" width="5.7109375" customWidth="1"/>
    <col min="21" max="21" width="24.7109375" bestFit="1" customWidth="1"/>
    <col min="22" max="22" width="6.42578125" bestFit="1" customWidth="1"/>
    <col min="23" max="23" width="42.85546875" bestFit="1" customWidth="1"/>
    <col min="24" max="24" width="5.7109375" customWidth="1"/>
    <col min="25" max="25" width="26.85546875" bestFit="1" customWidth="1"/>
    <col min="26" max="26" width="9.42578125" bestFit="1" customWidth="1"/>
    <col min="27" max="27" width="54.42578125" bestFit="1" customWidth="1"/>
    <col min="28" max="28" width="5.7109375" customWidth="1"/>
    <col min="29" max="29" width="25.7109375" bestFit="1" customWidth="1"/>
    <col min="30" max="30" width="13.140625" style="71" bestFit="1" customWidth="1"/>
    <col min="31" max="31" width="52" bestFit="1" customWidth="1"/>
    <col min="32" max="32" width="5.7109375" customWidth="1"/>
    <col min="33" max="33" width="20.7109375" bestFit="1" customWidth="1"/>
    <col min="34" max="34" width="6.42578125" bestFit="1" customWidth="1"/>
    <col min="35" max="35" width="13.7109375" bestFit="1" customWidth="1"/>
    <col min="36" max="36" width="5.7109375" customWidth="1"/>
    <col min="37" max="37" width="29.85546875" bestFit="1" customWidth="1"/>
    <col min="38" max="38" width="6.42578125" bestFit="1" customWidth="1"/>
    <col min="39" max="39" width="25.42578125" bestFit="1" customWidth="1"/>
    <col min="40" max="40" width="4" bestFit="1" customWidth="1"/>
    <col min="41" max="41" width="29.7109375" bestFit="1" customWidth="1"/>
    <col min="42" max="48" width="5.7109375" customWidth="1"/>
    <col min="54" max="54" width="21.28515625" bestFit="1" customWidth="1"/>
  </cols>
  <sheetData>
    <row r="1" spans="1:41" s="54" customFormat="1" x14ac:dyDescent="0.25">
      <c r="A1" s="55" t="s">
        <v>258</v>
      </c>
      <c r="B1" s="55" t="s">
        <v>99</v>
      </c>
      <c r="C1" s="55" t="s">
        <v>100</v>
      </c>
      <c r="D1" s="55" t="s">
        <v>318</v>
      </c>
      <c r="E1" s="56" t="s">
        <v>259</v>
      </c>
      <c r="F1" s="56" t="s">
        <v>99</v>
      </c>
      <c r="G1" s="56" t="s">
        <v>100</v>
      </c>
      <c r="H1" s="56" t="s">
        <v>318</v>
      </c>
      <c r="I1" s="55" t="s">
        <v>232</v>
      </c>
      <c r="J1" s="55" t="s">
        <v>99</v>
      </c>
      <c r="K1" s="55" t="s">
        <v>100</v>
      </c>
      <c r="L1" s="55" t="s">
        <v>318</v>
      </c>
      <c r="M1" s="56" t="s">
        <v>260</v>
      </c>
      <c r="N1" s="56" t="s">
        <v>99</v>
      </c>
      <c r="O1" s="56" t="s">
        <v>100</v>
      </c>
      <c r="P1" s="56" t="s">
        <v>318</v>
      </c>
      <c r="Q1" s="55" t="s">
        <v>261</v>
      </c>
      <c r="R1" s="52" t="s">
        <v>99</v>
      </c>
      <c r="S1" s="55" t="s">
        <v>100</v>
      </c>
      <c r="T1" s="55" t="s">
        <v>318</v>
      </c>
      <c r="U1" s="56" t="s">
        <v>262</v>
      </c>
      <c r="V1" s="56" t="s">
        <v>99</v>
      </c>
      <c r="W1" s="56" t="s">
        <v>100</v>
      </c>
      <c r="X1" s="56" t="s">
        <v>318</v>
      </c>
      <c r="Y1" s="55" t="s">
        <v>263</v>
      </c>
      <c r="Z1" s="55" t="s">
        <v>99</v>
      </c>
      <c r="AA1" s="55" t="s">
        <v>100</v>
      </c>
      <c r="AB1" s="55" t="s">
        <v>318</v>
      </c>
      <c r="AC1" s="56" t="s">
        <v>264</v>
      </c>
      <c r="AD1" s="57" t="s">
        <v>99</v>
      </c>
      <c r="AE1" s="56" t="s">
        <v>100</v>
      </c>
      <c r="AF1" s="56" t="s">
        <v>318</v>
      </c>
      <c r="AG1" s="55" t="s">
        <v>265</v>
      </c>
      <c r="AH1" s="55" t="s">
        <v>99</v>
      </c>
      <c r="AI1" s="55" t="s">
        <v>100</v>
      </c>
      <c r="AJ1" s="55" t="s">
        <v>318</v>
      </c>
      <c r="AK1" s="56" t="s">
        <v>266</v>
      </c>
      <c r="AL1" s="56" t="s">
        <v>99</v>
      </c>
      <c r="AM1" s="56" t="s">
        <v>343</v>
      </c>
      <c r="AN1" s="56" t="s">
        <v>318</v>
      </c>
      <c r="AO1" s="54" t="s">
        <v>344</v>
      </c>
    </row>
    <row r="2" spans="1:41" x14ac:dyDescent="0.25">
      <c r="A2" s="24" t="s">
        <v>110</v>
      </c>
      <c r="B2" s="24"/>
      <c r="C2" s="24"/>
      <c r="D2" s="24"/>
      <c r="E2" s="23" t="s">
        <v>450</v>
      </c>
      <c r="F2" s="23" t="s">
        <v>17</v>
      </c>
      <c r="G2" s="23" t="s">
        <v>189</v>
      </c>
      <c r="H2" s="23" t="s">
        <v>452</v>
      </c>
      <c r="I2" s="24" t="s">
        <v>211</v>
      </c>
      <c r="J2" s="24"/>
      <c r="K2" s="24" t="s">
        <v>267</v>
      </c>
      <c r="L2" s="24"/>
      <c r="M2" s="23" t="s">
        <v>7</v>
      </c>
      <c r="N2" s="23" t="s">
        <v>280</v>
      </c>
      <c r="O2" s="23"/>
      <c r="P2" s="23"/>
      <c r="Q2" s="24" t="s">
        <v>183</v>
      </c>
      <c r="R2" s="83" t="s">
        <v>15</v>
      </c>
      <c r="S2" s="24" t="s">
        <v>184</v>
      </c>
      <c r="T2" s="24"/>
      <c r="U2" s="23" t="s">
        <v>39</v>
      </c>
      <c r="V2" s="82">
        <v>0.39583333333333331</v>
      </c>
      <c r="W2" s="23" t="s">
        <v>241</v>
      </c>
      <c r="X2" s="23"/>
      <c r="Y2" s="24" t="s">
        <v>245</v>
      </c>
      <c r="Z2" s="24" t="s">
        <v>246</v>
      </c>
      <c r="AA2" s="24" t="s">
        <v>247</v>
      </c>
      <c r="AB2" s="24"/>
      <c r="AC2" s="23" t="s">
        <v>188</v>
      </c>
      <c r="AD2" s="74" t="s">
        <v>17</v>
      </c>
      <c r="AE2" s="23" t="s">
        <v>189</v>
      </c>
      <c r="AF2" s="23"/>
      <c r="AG2" s="24" t="s">
        <v>121</v>
      </c>
      <c r="AH2" s="24"/>
      <c r="AI2" s="24" t="s">
        <v>199</v>
      </c>
      <c r="AJ2" s="24"/>
      <c r="AK2" s="23" t="s">
        <v>317</v>
      </c>
      <c r="AL2" s="23">
        <v>1.5</v>
      </c>
      <c r="AM2" s="23" t="s">
        <v>342</v>
      </c>
      <c r="AN2" s="23" t="s">
        <v>316</v>
      </c>
      <c r="AO2" s="23"/>
    </row>
    <row r="3" spans="1:41" x14ac:dyDescent="0.25">
      <c r="A3" s="24" t="s">
        <v>173</v>
      </c>
      <c r="B3" s="24" t="s">
        <v>279</v>
      </c>
      <c r="C3" s="24"/>
      <c r="D3" s="24"/>
      <c r="E3" s="23" t="s">
        <v>204</v>
      </c>
      <c r="F3" s="23" t="s">
        <v>205</v>
      </c>
      <c r="G3" s="23" t="s">
        <v>206</v>
      </c>
      <c r="H3" s="23" t="s">
        <v>453</v>
      </c>
      <c r="I3" s="24" t="s">
        <v>212</v>
      </c>
      <c r="J3" s="24">
        <v>8</v>
      </c>
      <c r="K3" s="24" t="s">
        <v>269</v>
      </c>
      <c r="L3" s="24"/>
      <c r="M3" s="23" t="s">
        <v>215</v>
      </c>
      <c r="N3" s="23">
        <v>5103363386</v>
      </c>
      <c r="O3" s="23"/>
      <c r="P3" s="23"/>
      <c r="Q3" s="24" t="s">
        <v>185</v>
      </c>
      <c r="R3" s="77"/>
      <c r="S3" s="24" t="s">
        <v>240</v>
      </c>
      <c r="T3" s="24"/>
      <c r="U3" s="23" t="s">
        <v>233</v>
      </c>
      <c r="V3" s="73">
        <f>companysettings!R5</f>
        <v>0.5</v>
      </c>
      <c r="W3" s="23" t="s">
        <v>242</v>
      </c>
      <c r="X3" s="23"/>
      <c r="Y3" s="24" t="s">
        <v>248</v>
      </c>
      <c r="Z3" s="24"/>
      <c r="AA3" s="24" t="s">
        <v>249</v>
      </c>
      <c r="AB3" s="24"/>
      <c r="AC3" s="23" t="s">
        <v>112</v>
      </c>
      <c r="AD3" s="74" t="s">
        <v>332</v>
      </c>
      <c r="AE3" s="23" t="s">
        <v>190</v>
      </c>
      <c r="AF3" s="23"/>
      <c r="AG3" s="24" t="s">
        <v>200</v>
      </c>
      <c r="AH3" s="24"/>
      <c r="AI3" s="24" t="s">
        <v>201</v>
      </c>
      <c r="AJ3" s="24"/>
      <c r="AK3" s="23" t="s">
        <v>229</v>
      </c>
      <c r="AL3" s="23">
        <v>2</v>
      </c>
      <c r="AM3" s="23" t="s">
        <v>229</v>
      </c>
      <c r="AN3" s="23" t="s">
        <v>341</v>
      </c>
      <c r="AO3" s="23"/>
    </row>
    <row r="4" spans="1:41" x14ac:dyDescent="0.25">
      <c r="A4" s="24" t="s">
        <v>174</v>
      </c>
      <c r="B4" s="24" t="s">
        <v>281</v>
      </c>
      <c r="C4" s="24"/>
      <c r="D4" s="24"/>
      <c r="E4" s="23" t="s">
        <v>207</v>
      </c>
      <c r="F4" s="23"/>
      <c r="G4" s="23" t="s">
        <v>454</v>
      </c>
      <c r="H4" s="23" t="s">
        <v>455</v>
      </c>
      <c r="I4" s="24" t="s">
        <v>213</v>
      </c>
      <c r="J4" s="24"/>
      <c r="K4" s="24" t="s">
        <v>269</v>
      </c>
      <c r="L4" s="24"/>
      <c r="M4" s="23" t="s">
        <v>218</v>
      </c>
      <c r="N4" s="23"/>
      <c r="O4" s="23" t="s">
        <v>269</v>
      </c>
      <c r="P4" s="23"/>
      <c r="Q4" s="24" t="s">
        <v>186</v>
      </c>
      <c r="R4" s="77">
        <v>80</v>
      </c>
      <c r="S4" s="24" t="s">
        <v>444</v>
      </c>
      <c r="T4" s="24" t="s">
        <v>445</v>
      </c>
      <c r="U4" s="23" t="s">
        <v>234</v>
      </c>
      <c r="V4" s="73">
        <f>companysettings!R6</f>
        <v>0.54166666666666663</v>
      </c>
      <c r="W4" s="23" t="s">
        <v>243</v>
      </c>
      <c r="X4" s="23"/>
      <c r="Y4" s="24" t="s">
        <v>203</v>
      </c>
      <c r="Z4" s="24" t="s">
        <v>17</v>
      </c>
      <c r="AA4" s="24" t="s">
        <v>189</v>
      </c>
      <c r="AB4" s="24"/>
      <c r="AC4" s="23" t="s">
        <v>191</v>
      </c>
      <c r="AD4" s="74" t="s">
        <v>56</v>
      </c>
      <c r="AE4" s="23" t="s">
        <v>192</v>
      </c>
      <c r="AF4" s="23"/>
      <c r="AG4" s="24" t="s">
        <v>122</v>
      </c>
      <c r="AH4" s="24"/>
      <c r="AI4" s="24"/>
      <c r="AJ4" s="24"/>
      <c r="AK4" s="23" t="s">
        <v>90</v>
      </c>
      <c r="AL4" s="23">
        <v>2.5</v>
      </c>
      <c r="AM4" s="23" t="s">
        <v>90</v>
      </c>
      <c r="AN4" s="23" t="s">
        <v>306</v>
      </c>
      <c r="AO4" s="23"/>
    </row>
    <row r="5" spans="1:41" x14ac:dyDescent="0.25">
      <c r="A5" s="24" t="s">
        <v>175</v>
      </c>
      <c r="B5" s="24"/>
      <c r="C5" s="24"/>
      <c r="D5" s="24"/>
      <c r="E5" s="23" t="s">
        <v>208</v>
      </c>
      <c r="F5" s="23"/>
      <c r="G5" s="23" t="s">
        <v>454</v>
      </c>
      <c r="H5" s="23" t="s">
        <v>455</v>
      </c>
      <c r="I5" s="24" t="s">
        <v>214</v>
      </c>
      <c r="J5" s="24"/>
      <c r="K5" s="24" t="s">
        <v>269</v>
      </c>
      <c r="L5" s="24"/>
      <c r="M5" s="23" t="s">
        <v>219</v>
      </c>
      <c r="N5" s="23"/>
      <c r="O5" s="23" t="s">
        <v>269</v>
      </c>
      <c r="P5" s="23"/>
      <c r="Q5" s="24" t="s">
        <v>187</v>
      </c>
      <c r="R5" s="76">
        <f>IFERROR(
 IF((IF(ISTEXT(V2),IFERROR(TIMEVALUE(V2),0),V2)*24)&lt;=0,"",
   IF(LEFT(UPPER(TRIM(companysettings!$Z$8)),6)="ACTUAL",
      IF(N(R3)&gt;0, R3/$J$36/(IF(ISTEXT(V2),IFERROR(TIMEVALUE(V2),0),V2)*24),
         IF(N(R4)&gt;0, R4/(IF(ISTEXT(V2),IFERROR(TIMEVALUE(V2),0),V2)*24), "")),
      IF(N(R3)&gt;0, R3/26/(IF(ISTEXT(V2),IFERROR(TIMEVALUE(V2),0),V2)*24),
         IF(N(R4)&gt;0, R4/(IF(ISTEXT(V2),IFERROR(TIMEVALUE(V2),0),V2)*24), ""))
   )
 ),"")</f>
        <v>8.4210526315789469</v>
      </c>
      <c r="S5" s="24" t="s">
        <v>446</v>
      </c>
      <c r="T5" s="24" t="s">
        <v>445</v>
      </c>
      <c r="U5" s="23" t="s">
        <v>236</v>
      </c>
      <c r="V5" s="73">
        <f>companysettings!AH2</f>
        <v>4.1666666666666666E-3</v>
      </c>
      <c r="W5" s="23" t="s">
        <v>244</v>
      </c>
      <c r="X5" s="23"/>
      <c r="Y5" s="24"/>
      <c r="Z5" s="24"/>
      <c r="AA5" s="24"/>
      <c r="AB5" s="24"/>
      <c r="AC5" s="23" t="s">
        <v>193</v>
      </c>
      <c r="AD5" s="74" t="s">
        <v>56</v>
      </c>
      <c r="AE5" s="23"/>
      <c r="AF5" s="23"/>
      <c r="AG5" s="24" t="s">
        <v>202</v>
      </c>
      <c r="AH5" s="24"/>
      <c r="AI5" s="24"/>
      <c r="AJ5" s="24"/>
      <c r="AK5" s="23" t="s">
        <v>315</v>
      </c>
      <c r="AL5" s="23">
        <v>3</v>
      </c>
      <c r="AM5" s="23" t="s">
        <v>327</v>
      </c>
      <c r="AN5" s="23" t="s">
        <v>314</v>
      </c>
      <c r="AO5" s="23"/>
    </row>
    <row r="6" spans="1:41" x14ac:dyDescent="0.25">
      <c r="A6" s="24" t="s">
        <v>176</v>
      </c>
      <c r="B6" s="24"/>
      <c r="C6" s="24"/>
      <c r="D6" s="24"/>
      <c r="E6" s="23" t="s">
        <v>456</v>
      </c>
      <c r="F6" s="23" t="s">
        <v>17</v>
      </c>
      <c r="G6" s="23" t="s">
        <v>189</v>
      </c>
      <c r="H6" s="23" t="s">
        <v>452</v>
      </c>
      <c r="I6" s="24" t="s">
        <v>230</v>
      </c>
      <c r="J6" s="24" cm="1">
        <f t="array" aca="1" ref="J6" ca="1">_xlfn.LET(
  _xlpm.ent, N($J$3),
  _xlpm.s, "'"&amp;TEXT(ROW($1:$12),"00")&amp;"'!$K$3:$K$33",
  _xlpm.taken, SUMPRODUCT(IFERROR(COUNTIF(INDIRECT(_xlpm.s),"Ann Leave"),0)),
  IF(_xlpm.ent="","", _xlpm.ent - _xlpm.taken)
)</f>
        <v>8</v>
      </c>
      <c r="K6" s="24" t="s">
        <v>319</v>
      </c>
      <c r="L6" s="24" t="s">
        <v>307</v>
      </c>
      <c r="M6" s="23"/>
      <c r="N6" s="23"/>
      <c r="O6" s="23"/>
      <c r="P6" s="23"/>
      <c r="Q6" s="24" t="s">
        <v>250</v>
      </c>
      <c r="R6" s="83" t="s">
        <v>251</v>
      </c>
      <c r="S6" s="24" t="s">
        <v>252</v>
      </c>
      <c r="T6" s="24"/>
      <c r="U6" s="23" t="s">
        <v>237</v>
      </c>
      <c r="V6" s="73">
        <f>companysettings!AH3</f>
        <v>4.1666666666666664E-2</v>
      </c>
      <c r="W6" s="23" t="s">
        <v>244</v>
      </c>
      <c r="X6" s="23"/>
      <c r="Y6" s="24"/>
      <c r="Z6" s="24"/>
      <c r="AA6" s="24"/>
      <c r="AB6" s="24"/>
      <c r="AC6" s="23" t="s">
        <v>194</v>
      </c>
      <c r="AD6" s="74" t="s">
        <v>56</v>
      </c>
      <c r="AE6" s="23"/>
      <c r="AF6" s="23"/>
      <c r="AG6" s="24"/>
      <c r="AH6" s="24"/>
      <c r="AI6" s="24"/>
      <c r="AJ6" s="24"/>
      <c r="AK6" s="23" t="s">
        <v>255</v>
      </c>
      <c r="AL6" s="23">
        <v>4</v>
      </c>
      <c r="AM6" s="23" t="s">
        <v>255</v>
      </c>
      <c r="AN6" s="23" t="s">
        <v>313</v>
      </c>
      <c r="AO6" s="23"/>
    </row>
    <row r="7" spans="1:41" x14ac:dyDescent="0.25">
      <c r="A7" s="24" t="s">
        <v>177</v>
      </c>
      <c r="B7" s="24"/>
      <c r="C7" s="24" t="s">
        <v>178</v>
      </c>
      <c r="D7" s="24"/>
      <c r="E7" s="23" t="s">
        <v>209</v>
      </c>
      <c r="F7" s="23" t="s">
        <v>98</v>
      </c>
      <c r="G7" s="23" t="s">
        <v>210</v>
      </c>
      <c r="H7" s="23" t="s">
        <v>457</v>
      </c>
      <c r="I7" s="24" t="s">
        <v>336</v>
      </c>
      <c r="J7" s="24"/>
      <c r="K7" s="24"/>
      <c r="L7" s="24" t="s">
        <v>337</v>
      </c>
      <c r="M7" s="23"/>
      <c r="N7" s="23"/>
      <c r="O7" s="23"/>
      <c r="P7" s="23"/>
      <c r="Q7" s="24" t="s">
        <v>253</v>
      </c>
      <c r="R7" s="76">
        <v>0.5</v>
      </c>
      <c r="S7" s="24" t="s">
        <v>254</v>
      </c>
      <c r="T7" s="24"/>
      <c r="U7" s="23"/>
      <c r="V7" s="23"/>
      <c r="W7" s="23"/>
      <c r="X7" s="23"/>
      <c r="Y7" s="24"/>
      <c r="Z7" s="24"/>
      <c r="AA7" s="24"/>
      <c r="AB7" s="24"/>
      <c r="AC7" s="23" t="s">
        <v>195</v>
      </c>
      <c r="AD7" s="74" t="s">
        <v>56</v>
      </c>
      <c r="AE7" s="23"/>
      <c r="AF7" s="23"/>
      <c r="AG7" s="24"/>
      <c r="AH7" s="24"/>
      <c r="AI7" s="24"/>
      <c r="AJ7" s="24"/>
      <c r="AK7" s="23"/>
      <c r="AL7" s="23"/>
      <c r="AM7" s="23"/>
      <c r="AN7" s="23"/>
      <c r="AO7" s="23"/>
    </row>
    <row r="8" spans="1:41" x14ac:dyDescent="0.25">
      <c r="A8" s="24" t="s">
        <v>179</v>
      </c>
      <c r="B8" s="24"/>
      <c r="C8" s="24"/>
      <c r="D8" s="24"/>
      <c r="E8" s="23" t="s">
        <v>96</v>
      </c>
      <c r="F8" s="23" t="s">
        <v>17</v>
      </c>
      <c r="G8" s="23" t="s">
        <v>189</v>
      </c>
      <c r="H8" s="23" t="s">
        <v>452</v>
      </c>
      <c r="I8" s="24" t="s">
        <v>310</v>
      </c>
      <c r="J8" s="24"/>
      <c r="K8" s="24"/>
      <c r="L8" s="24" t="s">
        <v>309</v>
      </c>
      <c r="M8" s="23"/>
      <c r="N8" s="23"/>
      <c r="O8" s="23"/>
      <c r="P8" s="23"/>
      <c r="Q8" s="24" t="s">
        <v>325</v>
      </c>
      <c r="R8" s="77">
        <v>70</v>
      </c>
      <c r="S8" s="24" t="s">
        <v>448</v>
      </c>
      <c r="T8" s="24" t="s">
        <v>449</v>
      </c>
      <c r="U8" s="23"/>
      <c r="V8" s="23"/>
      <c r="W8" s="23"/>
      <c r="X8" s="23"/>
      <c r="Y8" s="24"/>
      <c r="Z8" s="24"/>
      <c r="AA8" s="24"/>
      <c r="AB8" s="24"/>
      <c r="AC8" s="23" t="s">
        <v>196</v>
      </c>
      <c r="AD8" s="74" t="s">
        <v>56</v>
      </c>
      <c r="AE8" s="23"/>
      <c r="AF8" s="23"/>
      <c r="AG8" s="24"/>
      <c r="AH8" s="24"/>
      <c r="AI8" s="24"/>
      <c r="AJ8" s="24"/>
      <c r="AK8" s="23"/>
      <c r="AL8" s="23"/>
      <c r="AM8" s="23"/>
      <c r="AN8" s="23"/>
      <c r="AO8" s="23"/>
    </row>
    <row r="9" spans="1:41" x14ac:dyDescent="0.25">
      <c r="A9" s="24" t="s">
        <v>180</v>
      </c>
      <c r="B9" s="24"/>
      <c r="C9" s="24"/>
      <c r="D9" s="24"/>
      <c r="E9" s="23" t="s">
        <v>458</v>
      </c>
      <c r="F9" s="23" t="s">
        <v>56</v>
      </c>
      <c r="G9" s="23" t="s">
        <v>459</v>
      </c>
      <c r="H9" s="23" t="s">
        <v>452</v>
      </c>
      <c r="I9" s="24" t="s">
        <v>228</v>
      </c>
      <c r="J9" s="24"/>
      <c r="K9" s="24"/>
      <c r="L9" s="24" t="s">
        <v>314</v>
      </c>
      <c r="M9" s="23"/>
      <c r="N9" s="23"/>
      <c r="O9" s="23"/>
      <c r="P9" s="23"/>
      <c r="Q9" s="24" t="s">
        <v>326</v>
      </c>
      <c r="R9" s="76">
        <f>_xlfn.LET(_xlpm.r,R8,_xlpm.t,V2,_xlpm.n,IF(ISTEXT(_xlpm.t),IFERROR(TIMEVALUE(_xlpm.t),0),_xlpm.t),IF(OR(_xlpm.r&lt;=0,_xlpm.n&lt;=0),"",IFERROR(_xlpm.r/(_xlpm.n*24),"")))</f>
        <v>7.3684210526315788</v>
      </c>
      <c r="S9" s="24" t="s">
        <v>447</v>
      </c>
      <c r="T9" s="24" t="s">
        <v>449</v>
      </c>
      <c r="U9" s="23"/>
      <c r="V9" s="23"/>
      <c r="W9" s="23"/>
      <c r="X9" s="23"/>
      <c r="Y9" s="24"/>
      <c r="Z9" s="24"/>
      <c r="AA9" s="24"/>
      <c r="AB9" s="24"/>
      <c r="AC9" s="23" t="s">
        <v>197</v>
      </c>
      <c r="AD9" s="74" t="s">
        <v>366</v>
      </c>
      <c r="AE9" s="23"/>
      <c r="AF9" s="23"/>
      <c r="AG9" s="24"/>
      <c r="AH9" s="24"/>
      <c r="AI9" s="24"/>
      <c r="AJ9" s="24"/>
      <c r="AK9" s="23"/>
      <c r="AL9" s="23"/>
      <c r="AM9" s="23"/>
      <c r="AN9" s="23"/>
      <c r="AO9" s="23"/>
    </row>
    <row r="10" spans="1:41" x14ac:dyDescent="0.25">
      <c r="A10" s="24" t="s">
        <v>181</v>
      </c>
      <c r="B10" s="24"/>
      <c r="C10" s="24" t="s">
        <v>182</v>
      </c>
      <c r="D10" s="24"/>
      <c r="E10" s="23" t="s">
        <v>216</v>
      </c>
      <c r="F10" s="23"/>
      <c r="G10" s="23" t="s">
        <v>460</v>
      </c>
      <c r="H10" s="23" t="s">
        <v>461</v>
      </c>
      <c r="I10" s="24" t="s">
        <v>231</v>
      </c>
      <c r="J10" s="24"/>
      <c r="K10" s="24"/>
      <c r="L10" s="24" t="s">
        <v>308</v>
      </c>
      <c r="M10" s="23"/>
      <c r="N10" s="23"/>
      <c r="O10" s="23"/>
      <c r="P10" s="23"/>
      <c r="Q10" s="24"/>
      <c r="R10" s="76"/>
      <c r="S10" s="24"/>
      <c r="T10" s="24"/>
      <c r="U10" s="23"/>
      <c r="V10" s="23"/>
      <c r="W10" s="23"/>
      <c r="X10" s="23"/>
      <c r="Y10" s="24"/>
      <c r="Z10" s="24"/>
      <c r="AA10" s="24"/>
      <c r="AB10" s="24"/>
      <c r="AC10" s="23" t="s">
        <v>198</v>
      </c>
      <c r="AD10" s="74" t="s">
        <v>366</v>
      </c>
      <c r="AE10" s="23"/>
      <c r="AF10" s="23"/>
      <c r="AG10" s="24"/>
      <c r="AH10" s="24"/>
      <c r="AI10" s="24"/>
      <c r="AJ10" s="24"/>
      <c r="AK10" s="23"/>
      <c r="AL10" s="23"/>
      <c r="AM10" s="23"/>
      <c r="AN10" s="23"/>
      <c r="AO10" s="23"/>
    </row>
    <row r="11" spans="1:41" x14ac:dyDescent="0.25">
      <c r="A11" s="24"/>
      <c r="B11" s="24"/>
      <c r="C11" s="24"/>
      <c r="D11" s="24"/>
      <c r="E11" s="23" t="s">
        <v>462</v>
      </c>
      <c r="F11" s="23" t="s">
        <v>56</v>
      </c>
      <c r="G11" s="23" t="s">
        <v>189</v>
      </c>
      <c r="H11" s="23" t="s">
        <v>452</v>
      </c>
      <c r="I11" s="24"/>
      <c r="J11" s="24"/>
      <c r="K11" s="24"/>
      <c r="L11" s="24"/>
      <c r="M11" s="23"/>
      <c r="N11" s="23"/>
      <c r="O11" s="23"/>
      <c r="P11" s="23"/>
      <c r="Q11" s="24"/>
      <c r="R11" s="76"/>
      <c r="S11" s="24"/>
      <c r="T11" s="24"/>
      <c r="U11" s="23"/>
      <c r="V11" s="23"/>
      <c r="W11" s="23"/>
      <c r="X11" s="23"/>
      <c r="Y11" s="24"/>
      <c r="Z11" s="24"/>
      <c r="AA11" s="24"/>
      <c r="AB11" s="24"/>
      <c r="AC11" s="23"/>
      <c r="AD11" s="70"/>
      <c r="AE11" s="23"/>
      <c r="AF11" s="23"/>
      <c r="AG11" s="24"/>
      <c r="AH11" s="24"/>
      <c r="AI11" s="24"/>
      <c r="AJ11" s="24"/>
      <c r="AK11" s="23"/>
      <c r="AL11" s="23"/>
      <c r="AM11" s="23"/>
      <c r="AN11" s="23"/>
      <c r="AO11" s="23"/>
    </row>
    <row r="12" spans="1:41" x14ac:dyDescent="0.25">
      <c r="A12" s="24"/>
      <c r="B12" s="24"/>
      <c r="C12" s="24"/>
      <c r="D12" s="24"/>
      <c r="E12" s="23" t="s">
        <v>217</v>
      </c>
      <c r="F12" s="23"/>
      <c r="G12" s="23" t="s">
        <v>463</v>
      </c>
      <c r="H12" s="23" t="s">
        <v>464</v>
      </c>
      <c r="I12" s="24"/>
      <c r="J12" s="24"/>
      <c r="K12" s="24"/>
      <c r="L12" s="24"/>
      <c r="M12" s="23"/>
      <c r="N12" s="23"/>
      <c r="O12" s="23"/>
      <c r="P12" s="23"/>
      <c r="Q12" s="24"/>
      <c r="R12" s="76"/>
      <c r="S12" s="24"/>
      <c r="T12" s="24"/>
      <c r="U12" s="23"/>
      <c r="V12" s="23"/>
      <c r="W12" s="23"/>
      <c r="X12" s="23"/>
      <c r="Y12" s="24"/>
      <c r="Z12" s="24"/>
      <c r="AA12" s="24"/>
      <c r="AB12" s="24"/>
      <c r="AC12" s="23"/>
      <c r="AD12" s="70"/>
      <c r="AE12" s="23"/>
      <c r="AF12" s="23"/>
      <c r="AG12" s="24"/>
      <c r="AH12" s="24"/>
      <c r="AI12" s="24"/>
      <c r="AJ12" s="24"/>
      <c r="AK12" s="23"/>
      <c r="AL12" s="23"/>
      <c r="AM12" s="23"/>
      <c r="AN12" s="23"/>
      <c r="AO12" s="23"/>
    </row>
    <row r="13" spans="1:41" x14ac:dyDescent="0.25">
      <c r="A13" s="24"/>
      <c r="B13" s="24"/>
      <c r="C13" s="24"/>
      <c r="D13" s="24"/>
      <c r="E13" s="23" t="s">
        <v>465</v>
      </c>
      <c r="F13" s="23"/>
      <c r="G13" s="23" t="s">
        <v>466</v>
      </c>
      <c r="H13" s="23" t="s">
        <v>461</v>
      </c>
      <c r="I13" s="24"/>
      <c r="J13" s="24"/>
      <c r="K13" s="24"/>
      <c r="L13" s="24"/>
      <c r="M13" s="23"/>
      <c r="N13" s="23"/>
      <c r="O13" s="23"/>
      <c r="P13" s="23"/>
      <c r="Q13" s="24"/>
      <c r="R13" s="76"/>
      <c r="S13" s="24"/>
      <c r="T13" s="24"/>
      <c r="U13" s="23"/>
      <c r="V13" s="23"/>
      <c r="W13" s="23"/>
      <c r="X13" s="23"/>
      <c r="Y13" s="24"/>
      <c r="Z13" s="24"/>
      <c r="AA13" s="24"/>
      <c r="AB13" s="24"/>
      <c r="AC13" s="23"/>
      <c r="AD13" s="70"/>
      <c r="AE13" s="23"/>
      <c r="AF13" s="23"/>
      <c r="AG13" s="24"/>
      <c r="AH13" s="24"/>
      <c r="AI13" s="24"/>
      <c r="AJ13" s="24"/>
      <c r="AK13" s="23"/>
      <c r="AL13" s="23"/>
      <c r="AM13" s="23"/>
      <c r="AN13" s="23"/>
      <c r="AO13" s="23"/>
    </row>
    <row r="14" spans="1:41" x14ac:dyDescent="0.25">
      <c r="A14" s="24"/>
      <c r="B14" s="24"/>
      <c r="C14" s="24"/>
      <c r="D14" s="24"/>
      <c r="E14" s="23" t="s">
        <v>467</v>
      </c>
      <c r="F14" s="23"/>
      <c r="G14" s="23" t="s">
        <v>463</v>
      </c>
      <c r="H14" s="23" t="s">
        <v>464</v>
      </c>
      <c r="I14" s="24"/>
      <c r="J14" s="24"/>
      <c r="K14" s="24"/>
      <c r="L14" s="24"/>
      <c r="M14" s="23"/>
      <c r="N14" s="23"/>
      <c r="O14" s="23"/>
      <c r="P14" s="23"/>
      <c r="Q14" s="24"/>
      <c r="R14" s="76"/>
      <c r="S14" s="24"/>
      <c r="T14" s="24"/>
      <c r="U14" s="23"/>
      <c r="V14" s="23"/>
      <c r="W14" s="23"/>
      <c r="X14" s="23"/>
      <c r="Y14" s="24"/>
      <c r="Z14" s="24"/>
      <c r="AA14" s="24"/>
      <c r="AB14" s="24"/>
      <c r="AC14" s="23"/>
      <c r="AD14" s="70"/>
      <c r="AE14" s="23"/>
      <c r="AF14" s="23"/>
      <c r="AG14" s="24"/>
      <c r="AH14" s="24"/>
      <c r="AI14" s="24"/>
      <c r="AJ14" s="24"/>
      <c r="AK14" s="23"/>
      <c r="AL14" s="23"/>
      <c r="AM14" s="23"/>
      <c r="AN14" s="23"/>
      <c r="AO14" s="23"/>
    </row>
    <row r="15" spans="1:41" x14ac:dyDescent="0.25">
      <c r="A15" s="24"/>
      <c r="B15" s="24"/>
      <c r="C15" s="24"/>
      <c r="D15" s="24"/>
      <c r="E15" s="23" t="s">
        <v>468</v>
      </c>
      <c r="F15" s="23"/>
      <c r="G15" s="23" t="s">
        <v>469</v>
      </c>
      <c r="H15" s="23" t="s">
        <v>461</v>
      </c>
      <c r="I15" s="24"/>
      <c r="J15" s="24"/>
      <c r="K15" s="24"/>
      <c r="L15" s="24"/>
      <c r="M15" s="23"/>
      <c r="N15" s="23"/>
      <c r="O15" s="23"/>
      <c r="P15" s="23"/>
      <c r="Q15" s="24"/>
      <c r="R15" s="76"/>
      <c r="S15" s="24"/>
      <c r="T15" s="24"/>
      <c r="U15" s="23"/>
      <c r="V15" s="23"/>
      <c r="W15" s="23"/>
      <c r="X15" s="23"/>
      <c r="Y15" s="24"/>
      <c r="Z15" s="24"/>
      <c r="AA15" s="24"/>
      <c r="AB15" s="24"/>
      <c r="AC15" s="23"/>
      <c r="AD15" s="70"/>
      <c r="AE15" s="23"/>
      <c r="AF15" s="23"/>
      <c r="AG15" s="24"/>
      <c r="AH15" s="24"/>
      <c r="AI15" s="24"/>
      <c r="AJ15" s="24"/>
      <c r="AK15" s="23"/>
      <c r="AL15" s="23"/>
      <c r="AM15" s="23"/>
      <c r="AN15" s="23"/>
      <c r="AO15" s="23"/>
    </row>
    <row r="16" spans="1:41" x14ac:dyDescent="0.25">
      <c r="A16" s="24"/>
      <c r="B16" s="24"/>
      <c r="C16" s="24"/>
      <c r="D16" s="24"/>
      <c r="E16" s="23" t="s">
        <v>470</v>
      </c>
      <c r="F16" s="23"/>
      <c r="G16" s="23" t="s">
        <v>463</v>
      </c>
      <c r="H16" s="23" t="s">
        <v>464</v>
      </c>
      <c r="I16" s="24"/>
      <c r="J16" s="24"/>
      <c r="K16" s="24"/>
      <c r="L16" s="24"/>
      <c r="M16" s="23"/>
      <c r="N16" s="23"/>
      <c r="O16" s="23"/>
      <c r="P16" s="23"/>
      <c r="Q16" s="24"/>
      <c r="R16" s="76"/>
      <c r="S16" s="24"/>
      <c r="T16" s="24"/>
      <c r="U16" s="23"/>
      <c r="V16" s="23"/>
      <c r="W16" s="23"/>
      <c r="X16" s="23"/>
      <c r="Y16" s="24"/>
      <c r="Z16" s="24"/>
      <c r="AA16" s="24"/>
      <c r="AB16" s="24"/>
      <c r="AC16" s="23"/>
      <c r="AD16" s="70"/>
      <c r="AE16" s="23"/>
      <c r="AF16" s="23"/>
      <c r="AG16" s="24"/>
      <c r="AH16" s="24"/>
      <c r="AI16" s="24"/>
      <c r="AJ16" s="24"/>
      <c r="AK16" s="23"/>
      <c r="AL16" s="23"/>
      <c r="AM16" s="23"/>
      <c r="AN16" s="23"/>
      <c r="AO16" s="23"/>
    </row>
    <row r="17" spans="1:41" x14ac:dyDescent="0.25">
      <c r="A17" s="24"/>
      <c r="B17" s="24"/>
      <c r="C17" s="24"/>
      <c r="D17" s="24"/>
      <c r="E17" s="23" t="s">
        <v>471</v>
      </c>
      <c r="F17" s="23"/>
      <c r="G17" s="23" t="s">
        <v>469</v>
      </c>
      <c r="H17" s="23" t="s">
        <v>461</v>
      </c>
      <c r="I17" s="24"/>
      <c r="J17" s="24"/>
      <c r="K17" s="24"/>
      <c r="L17" s="24"/>
      <c r="M17" s="23"/>
      <c r="N17" s="23"/>
      <c r="O17" s="23"/>
      <c r="P17" s="23"/>
      <c r="Q17" s="24"/>
      <c r="R17" s="76"/>
      <c r="S17" s="24"/>
      <c r="T17" s="24"/>
      <c r="U17" s="23"/>
      <c r="V17" s="23"/>
      <c r="W17" s="23"/>
      <c r="X17" s="23"/>
      <c r="Y17" s="24"/>
      <c r="Z17" s="24"/>
      <c r="AA17" s="24"/>
      <c r="AB17" s="24"/>
      <c r="AC17" s="23"/>
      <c r="AD17" s="70"/>
      <c r="AE17" s="23"/>
      <c r="AF17" s="23"/>
      <c r="AG17" s="24"/>
      <c r="AH17" s="24"/>
      <c r="AI17" s="24"/>
      <c r="AJ17" s="24"/>
      <c r="AK17" s="23"/>
      <c r="AL17" s="23"/>
      <c r="AM17" s="23"/>
      <c r="AN17" s="23"/>
      <c r="AO17" s="23"/>
    </row>
    <row r="18" spans="1:41" x14ac:dyDescent="0.25">
      <c r="A18" s="24"/>
      <c r="B18" s="24"/>
      <c r="C18" s="24"/>
      <c r="D18" s="24"/>
      <c r="E18" s="23" t="s">
        <v>472</v>
      </c>
      <c r="F18" s="23"/>
      <c r="G18" s="23" t="s">
        <v>463</v>
      </c>
      <c r="H18" s="23" t="s">
        <v>464</v>
      </c>
      <c r="I18" s="24"/>
      <c r="J18" s="24"/>
      <c r="K18" s="24"/>
      <c r="L18" s="24"/>
      <c r="M18" s="23"/>
      <c r="N18" s="23"/>
      <c r="O18" s="23"/>
      <c r="P18" s="23"/>
      <c r="Q18" s="24"/>
      <c r="R18" s="76"/>
      <c r="S18" s="24"/>
      <c r="T18" s="24"/>
      <c r="U18" s="23"/>
      <c r="V18" s="23"/>
      <c r="W18" s="23"/>
      <c r="X18" s="23"/>
      <c r="Y18" s="24"/>
      <c r="Z18" s="24"/>
      <c r="AA18" s="24"/>
      <c r="AB18" s="24"/>
      <c r="AC18" s="23"/>
      <c r="AD18" s="70"/>
      <c r="AE18" s="23"/>
      <c r="AF18" s="23"/>
      <c r="AG18" s="24"/>
      <c r="AH18" s="24"/>
      <c r="AI18" s="24"/>
      <c r="AJ18" s="24"/>
      <c r="AK18" s="23"/>
      <c r="AL18" s="23"/>
      <c r="AM18" s="23"/>
      <c r="AN18" s="23"/>
      <c r="AO18" s="23"/>
    </row>
    <row r="19" spans="1:41" x14ac:dyDescent="0.25">
      <c r="A19" s="24"/>
      <c r="B19" s="24"/>
      <c r="C19" s="24"/>
      <c r="D19" s="24"/>
      <c r="E19" s="23" t="s">
        <v>473</v>
      </c>
      <c r="F19" s="23" t="s">
        <v>56</v>
      </c>
      <c r="G19" s="23" t="s">
        <v>474</v>
      </c>
      <c r="H19" s="23" t="s">
        <v>452</v>
      </c>
      <c r="I19" s="24"/>
      <c r="J19" s="24"/>
      <c r="K19" s="24"/>
      <c r="L19" s="24"/>
      <c r="M19" s="23"/>
      <c r="N19" s="23"/>
      <c r="O19" s="23"/>
      <c r="P19" s="23"/>
      <c r="Q19" s="24"/>
      <c r="R19" s="76"/>
      <c r="S19" s="24"/>
      <c r="T19" s="24"/>
      <c r="U19" s="23"/>
      <c r="V19" s="23"/>
      <c r="W19" s="23"/>
      <c r="X19" s="23"/>
      <c r="Y19" s="24"/>
      <c r="Z19" s="24"/>
      <c r="AA19" s="24"/>
      <c r="AB19" s="24"/>
      <c r="AC19" s="23"/>
      <c r="AD19" s="70"/>
      <c r="AE19" s="23"/>
      <c r="AF19" s="23"/>
      <c r="AG19" s="24"/>
      <c r="AH19" s="24"/>
      <c r="AI19" s="24"/>
      <c r="AJ19" s="24"/>
      <c r="AK19" s="23"/>
      <c r="AL19" s="23"/>
      <c r="AM19" s="23"/>
      <c r="AN19" s="23"/>
      <c r="AO19" s="23"/>
    </row>
    <row r="20" spans="1:41" x14ac:dyDescent="0.25">
      <c r="A20" s="24"/>
      <c r="B20" s="24"/>
      <c r="C20" s="24"/>
      <c r="D20" s="24"/>
      <c r="E20" s="23" t="s">
        <v>475</v>
      </c>
      <c r="F20" s="23"/>
      <c r="G20" s="23" t="s">
        <v>476</v>
      </c>
      <c r="H20" s="23" t="s">
        <v>455</v>
      </c>
      <c r="I20" s="24"/>
      <c r="J20" s="24"/>
      <c r="K20" s="24"/>
      <c r="L20" s="24"/>
      <c r="M20" s="23"/>
      <c r="N20" s="23"/>
      <c r="O20" s="23"/>
      <c r="P20" s="23"/>
      <c r="Q20" s="24"/>
      <c r="R20" s="76"/>
      <c r="S20" s="24"/>
      <c r="T20" s="24"/>
      <c r="U20" s="23"/>
      <c r="V20" s="23"/>
      <c r="W20" s="23"/>
      <c r="X20" s="23"/>
      <c r="Y20" s="24"/>
      <c r="Z20" s="24"/>
      <c r="AA20" s="24"/>
      <c r="AB20" s="24"/>
      <c r="AC20" s="23"/>
      <c r="AD20" s="70"/>
      <c r="AE20" s="23"/>
      <c r="AF20" s="23"/>
      <c r="AG20" s="24"/>
      <c r="AH20" s="24"/>
      <c r="AI20" s="24"/>
      <c r="AJ20" s="24"/>
      <c r="AK20" s="23"/>
      <c r="AL20" s="23"/>
      <c r="AM20" s="23"/>
      <c r="AN20" s="23"/>
      <c r="AO20" s="23"/>
    </row>
    <row r="21" spans="1:41" x14ac:dyDescent="0.25">
      <c r="A21" s="24"/>
      <c r="B21" s="24"/>
      <c r="C21" s="24"/>
      <c r="D21" s="24"/>
      <c r="E21" s="23" t="s">
        <v>477</v>
      </c>
      <c r="F21" s="23"/>
      <c r="G21" s="23" t="s">
        <v>478</v>
      </c>
      <c r="H21" s="23" t="s">
        <v>461</v>
      </c>
      <c r="I21" s="24"/>
      <c r="J21" s="24"/>
      <c r="K21" s="24"/>
      <c r="L21" s="24"/>
      <c r="M21" s="23"/>
      <c r="N21" s="23"/>
      <c r="O21" s="23"/>
      <c r="P21" s="23"/>
      <c r="Q21" s="62" t="str" cm="1">
        <f t="array" ref="Q21:Q22">IFERROR(INDEX($Q$2:$Q$20, MATCH(_xlfn.UNIQUE(_xlfn._xlws.FILTER($T$2:$T$20,$T$2:$T$20&lt;&gt;"")), $T$2:$T$20, 0)),"")</f>
        <v>Daily Rate</v>
      </c>
      <c r="R21" s="76" cm="1">
        <f t="array" ref="R21:R22">IFERROR(INDEX($R$2:$R$20, MATCH(_xlfn.UNIQUE(_xlfn._xlws.FILTER($T$2:$T$20,$T$2:$T$20&lt;&gt;"")), $T$2:$T$20, 0)),"")</f>
        <v>80</v>
      </c>
      <c r="S21" s="24" t="str" cm="1">
        <f t="array" ref="S21:S22">IFERROR(INDEX($S$2:$S$20, MATCH(_xlfn.UNIQUE(_xlfn._xlws.FILTER($T$2:$T$20,$T$2:$T$20&lt;&gt;"")), $T$2:$T$20, 0)),"")</f>
        <v>Days @ Base Rate</v>
      </c>
      <c r="T21" s="24" t="str" cm="1">
        <f t="array" ref="T21:T22">IFERROR(_xlfn.UNIQUE(_xlfn._xlws.FILTER($T$2:$T$20,$T$2:$T$20&lt;&gt;"")),"")</f>
        <v>BR</v>
      </c>
      <c r="U21" s="23"/>
      <c r="V21" s="23"/>
      <c r="W21" s="23"/>
      <c r="X21" s="23"/>
      <c r="Y21" s="24"/>
      <c r="Z21" s="24"/>
      <c r="AA21" s="24"/>
      <c r="AB21" s="24"/>
      <c r="AC21" s="23"/>
      <c r="AD21" s="70"/>
      <c r="AE21" s="23"/>
      <c r="AF21" s="23"/>
      <c r="AG21" s="24"/>
      <c r="AH21" s="24"/>
      <c r="AI21" s="24"/>
      <c r="AJ21" s="24"/>
      <c r="AK21" s="23"/>
      <c r="AL21" s="23"/>
      <c r="AM21" s="23"/>
      <c r="AN21" s="23"/>
      <c r="AO21" s="23"/>
    </row>
    <row r="22" spans="1:41" x14ac:dyDescent="0.25">
      <c r="A22" s="24"/>
      <c r="B22" s="24"/>
      <c r="C22" s="24"/>
      <c r="D22" s="24"/>
      <c r="E22" s="23" t="s">
        <v>479</v>
      </c>
      <c r="F22" s="23"/>
      <c r="G22" s="23" t="s">
        <v>480</v>
      </c>
      <c r="H22" s="23" t="s">
        <v>461</v>
      </c>
      <c r="I22" s="24"/>
      <c r="J22" s="24"/>
      <c r="K22" s="24"/>
      <c r="L22" s="24"/>
      <c r="M22" s="23"/>
      <c r="N22" s="23"/>
      <c r="O22" s="23"/>
      <c r="P22" s="23"/>
      <c r="Q22" s="24" t="str">
        <v>Indoor Daily Rate</v>
      </c>
      <c r="R22" s="76">
        <v>70</v>
      </c>
      <c r="S22" s="24" t="str">
        <v>Days @ Secondary Rate</v>
      </c>
      <c r="T22" s="24" t="str">
        <v>SR</v>
      </c>
      <c r="U22" s="23"/>
      <c r="V22" s="23"/>
      <c r="W22" s="23"/>
      <c r="X22" s="23"/>
      <c r="Y22" s="24"/>
      <c r="Z22" s="24"/>
      <c r="AA22" s="24"/>
      <c r="AB22" s="24"/>
      <c r="AC22" s="23"/>
      <c r="AD22" s="70"/>
      <c r="AE22" s="23"/>
      <c r="AF22" s="23"/>
      <c r="AG22" s="24"/>
      <c r="AH22" s="24"/>
      <c r="AI22" s="24"/>
      <c r="AJ22" s="24"/>
      <c r="AK22" s="23"/>
      <c r="AL22" s="23"/>
      <c r="AM22" s="23"/>
      <c r="AN22" s="23"/>
      <c r="AO22" s="23"/>
    </row>
    <row r="23" spans="1:41" x14ac:dyDescent="0.25">
      <c r="A23" s="24"/>
      <c r="B23" s="24"/>
      <c r="C23" s="24"/>
      <c r="D23" s="24"/>
      <c r="E23" s="23"/>
      <c r="F23" s="23"/>
      <c r="G23" s="23"/>
      <c r="H23" s="23"/>
      <c r="I23" s="24"/>
      <c r="J23" s="24"/>
      <c r="K23" s="24"/>
      <c r="L23" s="24"/>
      <c r="M23" s="23"/>
      <c r="N23" s="23"/>
      <c r="O23" s="23"/>
      <c r="P23" s="23"/>
      <c r="Q23" s="24"/>
      <c r="R23" s="76"/>
      <c r="S23" s="24"/>
      <c r="T23" s="24"/>
      <c r="U23" s="23"/>
      <c r="V23" s="23"/>
      <c r="W23" s="23"/>
      <c r="X23" s="23"/>
      <c r="Y23" s="24"/>
      <c r="Z23" s="24"/>
      <c r="AA23" s="24"/>
      <c r="AB23" s="24"/>
      <c r="AC23" s="23"/>
      <c r="AD23" s="70"/>
      <c r="AE23" s="23"/>
      <c r="AF23" s="23"/>
      <c r="AG23" s="24"/>
      <c r="AH23" s="24"/>
      <c r="AI23" s="24"/>
      <c r="AJ23" s="24"/>
      <c r="AK23" s="23"/>
      <c r="AL23" s="23"/>
      <c r="AM23" s="23"/>
      <c r="AN23" s="23"/>
      <c r="AO23" s="23"/>
    </row>
    <row r="24" spans="1:41" x14ac:dyDescent="0.25">
      <c r="A24" s="24"/>
      <c r="B24" s="24"/>
      <c r="C24" s="24"/>
      <c r="D24" s="24"/>
      <c r="E24" s="23"/>
      <c r="F24" s="23"/>
      <c r="G24" s="23"/>
      <c r="H24" s="23"/>
      <c r="I24" s="24"/>
      <c r="J24" s="24"/>
      <c r="K24" s="24"/>
      <c r="L24" s="24"/>
      <c r="M24" s="23"/>
      <c r="N24" s="23"/>
      <c r="O24" s="23"/>
      <c r="P24" s="23"/>
      <c r="Q24" s="24"/>
      <c r="R24" s="76"/>
      <c r="S24" s="24"/>
      <c r="T24" s="24"/>
      <c r="U24" s="23"/>
      <c r="V24" s="23"/>
      <c r="W24" s="23"/>
      <c r="X24" s="23"/>
      <c r="Y24" s="24"/>
      <c r="Z24" s="24"/>
      <c r="AA24" s="24"/>
      <c r="AB24" s="24"/>
      <c r="AC24" s="23"/>
      <c r="AD24" s="70"/>
      <c r="AE24" s="23"/>
      <c r="AF24" s="23"/>
      <c r="AG24" s="24"/>
      <c r="AH24" s="24"/>
      <c r="AI24" s="24"/>
      <c r="AJ24" s="24"/>
      <c r="AK24" s="23"/>
      <c r="AL24" s="23"/>
      <c r="AM24" s="23"/>
      <c r="AN24" s="23"/>
      <c r="AO24" s="23"/>
    </row>
    <row r="25" spans="1:41" x14ac:dyDescent="0.25">
      <c r="A25" s="24"/>
      <c r="B25" s="24"/>
      <c r="C25" s="24"/>
      <c r="D25" s="24"/>
      <c r="E25" s="23"/>
      <c r="F25" s="23"/>
      <c r="G25" s="23"/>
      <c r="H25" s="23"/>
      <c r="I25" s="24"/>
      <c r="J25" s="24"/>
      <c r="K25" s="24"/>
      <c r="L25" s="24"/>
      <c r="M25" s="23"/>
      <c r="N25" s="23"/>
      <c r="O25" s="23"/>
      <c r="P25" s="23"/>
      <c r="Q25" s="24"/>
      <c r="R25" s="76"/>
      <c r="S25" s="24"/>
      <c r="T25" s="24"/>
      <c r="U25" s="23"/>
      <c r="V25" s="23"/>
      <c r="W25" s="23"/>
      <c r="X25" s="23"/>
      <c r="Y25" s="24"/>
      <c r="Z25" s="24"/>
      <c r="AA25" s="24"/>
      <c r="AB25" s="24"/>
      <c r="AC25" s="23"/>
      <c r="AD25" s="70"/>
      <c r="AE25" s="23"/>
      <c r="AF25" s="23"/>
      <c r="AG25" s="24"/>
      <c r="AH25" s="24"/>
      <c r="AI25" s="24"/>
      <c r="AJ25" s="24"/>
      <c r="AK25" s="23"/>
      <c r="AL25" s="23"/>
      <c r="AM25" s="23"/>
      <c r="AN25" s="23"/>
      <c r="AO25" s="23"/>
    </row>
    <row r="26" spans="1:41" x14ac:dyDescent="0.25">
      <c r="A26" s="24"/>
      <c r="B26" s="24"/>
      <c r="C26" s="24"/>
      <c r="D26" s="24"/>
      <c r="E26" s="23"/>
      <c r="F26" s="23"/>
      <c r="G26" s="23"/>
      <c r="H26" s="23"/>
      <c r="I26" s="24"/>
      <c r="J26" s="24"/>
      <c r="K26" s="24"/>
      <c r="L26" s="24"/>
      <c r="M26" s="23"/>
      <c r="N26" s="23"/>
      <c r="O26" s="23"/>
      <c r="P26" s="23"/>
      <c r="Q26" s="24"/>
      <c r="R26" s="76"/>
      <c r="S26" s="24"/>
      <c r="T26" s="24"/>
      <c r="U26" s="23"/>
      <c r="V26" s="23"/>
      <c r="W26" s="23"/>
      <c r="X26" s="23"/>
      <c r="Y26" s="24"/>
      <c r="Z26" s="24"/>
      <c r="AA26" s="24"/>
      <c r="AB26" s="24"/>
      <c r="AC26" s="23"/>
      <c r="AD26" s="70"/>
      <c r="AE26" s="23"/>
      <c r="AF26" s="23"/>
      <c r="AG26" s="24"/>
      <c r="AH26" s="24"/>
      <c r="AI26" s="24"/>
      <c r="AJ26" s="24"/>
      <c r="AK26" s="23"/>
      <c r="AL26" s="23"/>
      <c r="AM26" s="23"/>
      <c r="AN26" s="23"/>
      <c r="AO26" s="23"/>
    </row>
    <row r="27" spans="1:41" x14ac:dyDescent="0.25">
      <c r="A27" s="24"/>
      <c r="B27" s="24"/>
      <c r="C27" s="24"/>
      <c r="D27" s="24"/>
      <c r="E27" s="23"/>
      <c r="F27" s="23"/>
      <c r="G27" s="23"/>
      <c r="H27" s="23"/>
      <c r="I27" s="24"/>
      <c r="J27" s="24"/>
      <c r="K27" s="24"/>
      <c r="L27" s="24"/>
      <c r="M27" s="23"/>
      <c r="N27" s="23"/>
      <c r="O27" s="23"/>
      <c r="P27" s="23"/>
      <c r="Q27" s="24"/>
      <c r="R27" s="76"/>
      <c r="S27" s="24"/>
      <c r="T27" s="24"/>
      <c r="U27" s="23"/>
      <c r="V27" s="23"/>
      <c r="W27" s="23"/>
      <c r="X27" s="23"/>
      <c r="Y27" s="24"/>
      <c r="Z27" s="24"/>
      <c r="AA27" s="24"/>
      <c r="AB27" s="24"/>
      <c r="AC27" s="23"/>
      <c r="AD27" s="70"/>
      <c r="AE27" s="23"/>
      <c r="AF27" s="23"/>
      <c r="AG27" s="24"/>
      <c r="AH27" s="24"/>
      <c r="AI27" s="24"/>
      <c r="AJ27" s="24"/>
      <c r="AK27" s="23"/>
      <c r="AL27" s="23"/>
      <c r="AM27" s="23"/>
      <c r="AN27" s="23"/>
      <c r="AO27" s="23"/>
    </row>
    <row r="28" spans="1:41" x14ac:dyDescent="0.25">
      <c r="A28" s="24"/>
      <c r="B28" s="24"/>
      <c r="C28" s="24"/>
      <c r="D28" s="24"/>
      <c r="E28" s="23"/>
      <c r="F28" s="23"/>
      <c r="G28" s="23"/>
      <c r="H28" s="23"/>
      <c r="I28" s="24"/>
      <c r="J28" s="24"/>
      <c r="K28" s="24"/>
      <c r="L28" s="24"/>
      <c r="M28" s="23"/>
      <c r="N28" s="23"/>
      <c r="O28" s="23"/>
      <c r="P28" s="23"/>
      <c r="Q28" s="24"/>
      <c r="R28" s="76"/>
      <c r="S28" s="24"/>
      <c r="T28" s="24"/>
      <c r="U28" s="23"/>
      <c r="V28" s="23"/>
      <c r="W28" s="23"/>
      <c r="X28" s="23"/>
      <c r="Y28" s="24"/>
      <c r="Z28" s="24"/>
      <c r="AA28" s="24"/>
      <c r="AB28" s="24"/>
      <c r="AC28" s="23"/>
      <c r="AD28" s="70"/>
      <c r="AE28" s="23"/>
      <c r="AF28" s="23"/>
      <c r="AG28" s="24"/>
      <c r="AH28" s="24"/>
      <c r="AI28" s="24"/>
      <c r="AJ28" s="24"/>
      <c r="AK28" s="23"/>
      <c r="AL28" s="23"/>
      <c r="AM28" s="23"/>
      <c r="AN28" s="23"/>
      <c r="AO28" s="23"/>
    </row>
    <row r="29" spans="1:41" x14ac:dyDescent="0.25">
      <c r="A29" s="24"/>
      <c r="B29" s="24"/>
      <c r="C29" s="24"/>
      <c r="D29" s="24"/>
      <c r="E29" s="23"/>
      <c r="F29" s="23"/>
      <c r="G29" s="23"/>
      <c r="H29" s="23"/>
      <c r="I29" s="24"/>
      <c r="J29" s="24"/>
      <c r="K29" s="24"/>
      <c r="L29" s="24"/>
      <c r="M29" s="23"/>
      <c r="N29" s="23"/>
      <c r="O29" s="23"/>
      <c r="P29" s="23"/>
      <c r="Q29" s="24"/>
      <c r="R29" s="76"/>
      <c r="S29" s="24"/>
      <c r="T29" s="24"/>
      <c r="U29" s="23"/>
      <c r="V29" s="23"/>
      <c r="W29" s="23"/>
      <c r="X29" s="23"/>
      <c r="Y29" s="24"/>
      <c r="Z29" s="24"/>
      <c r="AA29" s="24"/>
      <c r="AB29" s="24"/>
      <c r="AC29" s="23"/>
      <c r="AD29" s="70"/>
      <c r="AE29" s="23"/>
      <c r="AF29" s="23"/>
      <c r="AG29" s="24"/>
      <c r="AH29" s="24"/>
      <c r="AI29" s="24"/>
      <c r="AJ29" s="24"/>
      <c r="AK29" s="23"/>
      <c r="AL29" s="23"/>
      <c r="AM29" s="23"/>
      <c r="AN29" s="23"/>
      <c r="AO29" s="23"/>
    </row>
    <row r="30" spans="1:41" x14ac:dyDescent="0.25">
      <c r="A30" s="24"/>
      <c r="B30" s="24"/>
      <c r="C30" s="24"/>
      <c r="D30" s="24"/>
      <c r="E30" s="23"/>
      <c r="F30" s="23"/>
      <c r="G30" s="23"/>
      <c r="H30" s="23"/>
      <c r="I30" s="24"/>
      <c r="J30" s="24"/>
      <c r="K30" s="24"/>
      <c r="L30" s="24"/>
      <c r="M30" s="23"/>
      <c r="N30" s="23"/>
      <c r="O30" s="23"/>
      <c r="P30" s="23"/>
      <c r="Q30" s="24"/>
      <c r="R30" s="76"/>
      <c r="S30" s="24"/>
      <c r="T30" s="24"/>
      <c r="U30" s="23"/>
      <c r="V30" s="23"/>
      <c r="W30" s="23"/>
      <c r="X30" s="23"/>
      <c r="Y30" s="24"/>
      <c r="Z30" s="24"/>
      <c r="AA30" s="24"/>
      <c r="AB30" s="24"/>
      <c r="AC30" s="23"/>
      <c r="AD30" s="70"/>
      <c r="AE30" s="23"/>
      <c r="AF30" s="23"/>
      <c r="AG30" s="24"/>
      <c r="AH30" s="24"/>
      <c r="AI30" s="24"/>
      <c r="AJ30" s="24"/>
      <c r="AK30" s="23"/>
      <c r="AL30" s="23"/>
      <c r="AM30" s="23"/>
      <c r="AN30" s="23"/>
      <c r="AO30" s="23"/>
    </row>
    <row r="32" spans="1:41" x14ac:dyDescent="0.25">
      <c r="I32" s="56" t="s">
        <v>259</v>
      </c>
      <c r="J32" s="56" t="s">
        <v>99</v>
      </c>
      <c r="K32" s="56" t="s">
        <v>100</v>
      </c>
      <c r="L32" s="56" t="s">
        <v>318</v>
      </c>
    </row>
    <row r="33" spans="9:12" x14ac:dyDescent="0.25">
      <c r="I33" s="23" t="s">
        <v>204</v>
      </c>
      <c r="J33" s="23" t="s">
        <v>205</v>
      </c>
      <c r="K33" s="23" t="s">
        <v>206</v>
      </c>
      <c r="L33" s="23"/>
    </row>
    <row r="34" spans="9:12" x14ac:dyDescent="0.25">
      <c r="I34" s="23" t="s">
        <v>207</v>
      </c>
      <c r="J34" s="23"/>
      <c r="K34" s="23" t="s">
        <v>268</v>
      </c>
      <c r="L34" s="23"/>
    </row>
    <row r="35" spans="9:12" x14ac:dyDescent="0.25">
      <c r="I35" s="23" t="s">
        <v>208</v>
      </c>
      <c r="J35" s="23"/>
      <c r="K35" s="23" t="s">
        <v>268</v>
      </c>
      <c r="L35" s="23"/>
    </row>
    <row r="36" spans="9:12" x14ac:dyDescent="0.25">
      <c r="I36" s="23" t="s">
        <v>209</v>
      </c>
      <c r="J36" s="23" t="s">
        <v>98</v>
      </c>
      <c r="K36" s="23" t="s">
        <v>210</v>
      </c>
      <c r="L36" s="23"/>
    </row>
    <row r="37" spans="9:12" x14ac:dyDescent="0.25">
      <c r="I37" s="23" t="s">
        <v>451</v>
      </c>
      <c r="J37" s="23" t="s">
        <v>17</v>
      </c>
      <c r="K37" s="23" t="s">
        <v>189</v>
      </c>
      <c r="L37" s="23"/>
    </row>
    <row r="38" spans="9:12" x14ac:dyDescent="0.25">
      <c r="I38" s="23" t="s">
        <v>96</v>
      </c>
      <c r="J38" s="23" t="s">
        <v>17</v>
      </c>
      <c r="K38" s="23" t="s">
        <v>189</v>
      </c>
      <c r="L38" s="23"/>
    </row>
    <row r="39" spans="9:12" x14ac:dyDescent="0.25">
      <c r="I39" s="23" t="s">
        <v>450</v>
      </c>
      <c r="J39" s="23" t="s">
        <v>17</v>
      </c>
      <c r="K39" s="23" t="s">
        <v>189</v>
      </c>
      <c r="L39" s="23"/>
    </row>
    <row r="40" spans="9:12" x14ac:dyDescent="0.25">
      <c r="I40" s="23" t="s">
        <v>216</v>
      </c>
      <c r="J40" s="23"/>
      <c r="K40" s="23"/>
      <c r="L40" s="23"/>
    </row>
    <row r="41" spans="9:12" x14ac:dyDescent="0.25">
      <c r="I41" s="23" t="s">
        <v>217</v>
      </c>
      <c r="J41" s="23"/>
      <c r="K41" s="23" t="s">
        <v>269</v>
      </c>
      <c r="L41" s="23"/>
    </row>
    <row r="42" spans="9:12" x14ac:dyDescent="0.25">
      <c r="I42" s="23"/>
      <c r="J42" s="23"/>
      <c r="K42" s="23"/>
      <c r="L42" s="23"/>
    </row>
    <row r="43" spans="9:12" x14ac:dyDescent="0.25">
      <c r="I43" s="23" t="s">
        <v>216</v>
      </c>
      <c r="J43" s="23"/>
      <c r="K43" s="23"/>
      <c r="L43" s="23"/>
    </row>
    <row r="44" spans="9:12" x14ac:dyDescent="0.25">
      <c r="I44" s="23" t="s">
        <v>217</v>
      </c>
      <c r="J44" s="23"/>
      <c r="K44" s="23" t="s">
        <v>269</v>
      </c>
      <c r="L44" s="23"/>
    </row>
  </sheetData>
  <sortState xmlns:xlrd2="http://schemas.microsoft.com/office/spreadsheetml/2017/richdata2" ref="I6:L10">
    <sortCondition ref="I6:I10"/>
  </sortState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33275-3AAF-4F0C-9E1F-8E0109405A94}">
  <sheetPr codeName="Sheet4"/>
  <dimension ref="A1:L67"/>
  <sheetViews>
    <sheetView zoomScale="75" zoomScaleNormal="75" workbookViewId="0">
      <selection activeCell="Q38" sqref="Q38"/>
    </sheetView>
  </sheetViews>
  <sheetFormatPr defaultRowHeight="15" x14ac:dyDescent="0.25"/>
  <cols>
    <col min="1" max="1" width="8" style="1" bestFit="1" customWidth="1"/>
    <col min="2" max="2" width="8.28515625" style="1" bestFit="1" customWidth="1"/>
    <col min="3" max="3" width="18" style="1" bestFit="1" customWidth="1"/>
    <col min="4" max="4" width="18.42578125" style="1" bestFit="1" customWidth="1"/>
    <col min="5" max="5" width="14" style="1" bestFit="1" customWidth="1"/>
    <col min="6" max="6" width="18" style="1" customWidth="1"/>
    <col min="7" max="7" width="9.140625" style="2"/>
    <col min="8" max="8" width="8" style="1" bestFit="1" customWidth="1"/>
    <col min="9" max="9" width="8.28515625" style="1" bestFit="1" customWidth="1"/>
    <col min="10" max="10" width="16" style="1" bestFit="1" customWidth="1"/>
    <col min="11" max="11" width="16.28515625" style="1" bestFit="1" customWidth="1"/>
    <col min="12" max="12" width="12" style="1" bestFit="1" customWidth="1"/>
    <col min="13" max="16384" width="9.140625" style="1"/>
  </cols>
  <sheetData>
    <row r="1" spans="1:12" s="3" customFormat="1" x14ac:dyDescent="0.25">
      <c r="A1" s="3" t="s">
        <v>67</v>
      </c>
      <c r="G1" s="4"/>
      <c r="H1" s="3" t="s">
        <v>77</v>
      </c>
    </row>
    <row r="2" spans="1:12" x14ac:dyDescent="0.25">
      <c r="A2" s="1" t="s">
        <v>68</v>
      </c>
      <c r="B2" s="1" t="s">
        <v>69</v>
      </c>
      <c r="C2" s="1" t="s">
        <v>70</v>
      </c>
      <c r="D2" s="1" t="s">
        <v>71</v>
      </c>
      <c r="E2" s="1" t="s">
        <v>72</v>
      </c>
      <c r="F2" s="1" t="s">
        <v>73</v>
      </c>
      <c r="H2" s="1" t="s">
        <v>68</v>
      </c>
      <c r="I2" s="1" t="s">
        <v>69</v>
      </c>
      <c r="J2" s="1" t="s">
        <v>74</v>
      </c>
      <c r="K2" s="1" t="s">
        <v>75</v>
      </c>
      <c r="L2" s="1" t="s">
        <v>76</v>
      </c>
    </row>
    <row r="3" spans="1:12" x14ac:dyDescent="0.25">
      <c r="A3" s="1">
        <v>30</v>
      </c>
      <c r="B3" s="1">
        <v>30</v>
      </c>
      <c r="C3" s="1">
        <v>0.4</v>
      </c>
      <c r="D3" s="1">
        <v>0.1</v>
      </c>
      <c r="E3" s="1">
        <v>0.5</v>
      </c>
      <c r="F3" s="1">
        <v>0.3</v>
      </c>
      <c r="H3" s="1">
        <v>30</v>
      </c>
      <c r="I3" s="1">
        <v>30</v>
      </c>
      <c r="J3" s="1">
        <v>0.05</v>
      </c>
      <c r="K3" s="1">
        <v>0.05</v>
      </c>
      <c r="L3" s="1">
        <v>0.1</v>
      </c>
    </row>
    <row r="4" spans="1:12" x14ac:dyDescent="0.25">
      <c r="A4" s="1">
        <v>30</v>
      </c>
      <c r="B4" s="1">
        <v>50</v>
      </c>
      <c r="C4" s="1">
        <v>0.7</v>
      </c>
      <c r="D4" s="1">
        <v>0.2</v>
      </c>
      <c r="E4" s="1">
        <v>0.9</v>
      </c>
      <c r="F4" s="1">
        <v>0.5</v>
      </c>
      <c r="H4" s="1">
        <v>30</v>
      </c>
      <c r="I4" s="1">
        <v>50</v>
      </c>
      <c r="J4" s="1">
        <v>0.1</v>
      </c>
      <c r="K4" s="1">
        <v>0.1</v>
      </c>
      <c r="L4" s="1">
        <v>0.2</v>
      </c>
    </row>
    <row r="5" spans="1:12" x14ac:dyDescent="0.25">
      <c r="A5" s="1">
        <v>50</v>
      </c>
      <c r="B5" s="1">
        <v>70</v>
      </c>
      <c r="C5" s="1">
        <v>1.1000000000000001</v>
      </c>
      <c r="D5" s="1">
        <v>0.3</v>
      </c>
      <c r="E5" s="1">
        <v>1.4</v>
      </c>
      <c r="F5" s="1">
        <v>0.8</v>
      </c>
      <c r="H5" s="1">
        <v>50</v>
      </c>
      <c r="I5" s="1">
        <v>70</v>
      </c>
      <c r="J5" s="1">
        <v>0.15</v>
      </c>
      <c r="K5" s="1">
        <v>0.15</v>
      </c>
      <c r="L5" s="1">
        <v>0.3</v>
      </c>
    </row>
    <row r="6" spans="1:12" x14ac:dyDescent="0.25">
      <c r="A6" s="1">
        <v>70</v>
      </c>
      <c r="B6" s="1">
        <v>100</v>
      </c>
      <c r="C6" s="1">
        <v>1.5</v>
      </c>
      <c r="D6" s="1">
        <v>0.4</v>
      </c>
      <c r="E6" s="1">
        <v>1.9</v>
      </c>
      <c r="F6" s="1">
        <v>1.1000000000000001</v>
      </c>
      <c r="H6" s="1">
        <v>70</v>
      </c>
      <c r="I6" s="1">
        <v>100</v>
      </c>
      <c r="J6" s="1">
        <v>0.2</v>
      </c>
      <c r="K6" s="1">
        <v>0.2</v>
      </c>
      <c r="L6" s="1">
        <v>0.4</v>
      </c>
    </row>
    <row r="7" spans="1:12" x14ac:dyDescent="0.25">
      <c r="A7" s="1">
        <v>100</v>
      </c>
      <c r="B7" s="1">
        <v>140</v>
      </c>
      <c r="C7" s="1">
        <v>2.1</v>
      </c>
      <c r="D7" s="1">
        <v>0.6</v>
      </c>
      <c r="E7" s="1">
        <v>2.7</v>
      </c>
      <c r="F7" s="1">
        <v>1.5</v>
      </c>
      <c r="H7" s="1">
        <v>100</v>
      </c>
      <c r="I7" s="1">
        <v>140</v>
      </c>
      <c r="J7" s="1">
        <v>0.25</v>
      </c>
      <c r="K7" s="1">
        <v>0.25</v>
      </c>
      <c r="L7" s="1">
        <v>0.5</v>
      </c>
    </row>
    <row r="8" spans="1:12" x14ac:dyDescent="0.25">
      <c r="A8" s="1">
        <v>140</v>
      </c>
      <c r="B8" s="1">
        <v>200</v>
      </c>
      <c r="C8" s="1">
        <v>2.95</v>
      </c>
      <c r="D8" s="1">
        <v>0.85</v>
      </c>
      <c r="E8" s="1">
        <v>3.8</v>
      </c>
      <c r="F8" s="1">
        <v>2.1</v>
      </c>
      <c r="H8" s="1">
        <v>140</v>
      </c>
      <c r="I8" s="1">
        <v>200</v>
      </c>
      <c r="J8" s="1">
        <v>0.35</v>
      </c>
      <c r="K8" s="1">
        <v>0.35</v>
      </c>
      <c r="L8" s="1">
        <v>0.7</v>
      </c>
    </row>
    <row r="9" spans="1:12" x14ac:dyDescent="0.25">
      <c r="A9" s="1">
        <v>200</v>
      </c>
      <c r="B9" s="1">
        <v>300</v>
      </c>
      <c r="C9" s="1">
        <v>4.3499999999999996</v>
      </c>
      <c r="D9" s="1">
        <v>1.25</v>
      </c>
      <c r="E9" s="1">
        <v>5.6</v>
      </c>
      <c r="F9" s="1">
        <v>3.1</v>
      </c>
      <c r="H9" s="1">
        <v>200</v>
      </c>
      <c r="I9" s="1">
        <v>300</v>
      </c>
      <c r="J9" s="1">
        <v>0.5</v>
      </c>
      <c r="K9" s="1">
        <v>0.5</v>
      </c>
      <c r="L9" s="1">
        <v>1</v>
      </c>
    </row>
    <row r="10" spans="1:12" x14ac:dyDescent="0.25">
      <c r="A10" s="1">
        <v>300</v>
      </c>
      <c r="B10" s="1">
        <v>400</v>
      </c>
      <c r="C10" s="1">
        <v>6.15</v>
      </c>
      <c r="D10" s="1">
        <v>1.75</v>
      </c>
      <c r="E10" s="1">
        <v>7.9</v>
      </c>
      <c r="F10" s="1">
        <v>4.4000000000000004</v>
      </c>
      <c r="H10" s="1">
        <v>300</v>
      </c>
      <c r="I10" s="1">
        <v>400</v>
      </c>
      <c r="J10" s="1">
        <v>0.7</v>
      </c>
      <c r="K10" s="1">
        <v>0.7</v>
      </c>
      <c r="L10" s="1">
        <v>1.4</v>
      </c>
    </row>
    <row r="11" spans="1:12" x14ac:dyDescent="0.25">
      <c r="A11" s="1">
        <v>400</v>
      </c>
      <c r="B11" s="1">
        <v>500</v>
      </c>
      <c r="C11" s="1">
        <v>7.85</v>
      </c>
      <c r="D11" s="1">
        <v>2.25</v>
      </c>
      <c r="E11" s="1">
        <v>10.1</v>
      </c>
      <c r="F11" s="1">
        <v>5.6</v>
      </c>
      <c r="H11" s="1">
        <v>400</v>
      </c>
      <c r="I11" s="1">
        <v>500</v>
      </c>
      <c r="J11" s="1">
        <v>0.9</v>
      </c>
      <c r="K11" s="1">
        <v>0.9</v>
      </c>
      <c r="L11" s="1">
        <v>1.8</v>
      </c>
    </row>
    <row r="12" spans="1:12" x14ac:dyDescent="0.25">
      <c r="A12" s="1">
        <v>500</v>
      </c>
      <c r="B12" s="1">
        <v>600</v>
      </c>
      <c r="C12" s="1">
        <v>9.65</v>
      </c>
      <c r="D12" s="1">
        <v>2.75</v>
      </c>
      <c r="E12" s="1">
        <v>12.4</v>
      </c>
      <c r="F12" s="1">
        <v>6.9</v>
      </c>
      <c r="H12" s="1">
        <v>500</v>
      </c>
      <c r="I12" s="1">
        <v>600</v>
      </c>
      <c r="J12" s="1">
        <v>1.1000000000000001</v>
      </c>
      <c r="K12" s="1">
        <v>1.1000000000000001</v>
      </c>
      <c r="L12" s="1">
        <v>2.2000000000000002</v>
      </c>
    </row>
    <row r="13" spans="1:12" x14ac:dyDescent="0.25">
      <c r="A13" s="1">
        <v>600</v>
      </c>
      <c r="B13" s="1">
        <v>700</v>
      </c>
      <c r="C13" s="1">
        <v>11.35</v>
      </c>
      <c r="D13" s="1">
        <v>3.25</v>
      </c>
      <c r="E13" s="1">
        <v>14.6</v>
      </c>
      <c r="F13" s="1">
        <v>8.1</v>
      </c>
      <c r="H13" s="1">
        <v>600</v>
      </c>
      <c r="I13" s="1">
        <v>700</v>
      </c>
      <c r="J13" s="1">
        <v>1.3</v>
      </c>
      <c r="K13" s="1">
        <v>1.3</v>
      </c>
      <c r="L13" s="1">
        <v>2.6</v>
      </c>
    </row>
    <row r="14" spans="1:12" x14ac:dyDescent="0.25">
      <c r="A14" s="1">
        <v>700</v>
      </c>
      <c r="B14" s="1">
        <v>800</v>
      </c>
      <c r="C14" s="1">
        <v>13.15</v>
      </c>
      <c r="D14" s="1">
        <v>3.75</v>
      </c>
      <c r="E14" s="1">
        <v>16.899999999999999</v>
      </c>
      <c r="F14" s="1">
        <v>9.4</v>
      </c>
      <c r="H14" s="1">
        <v>700</v>
      </c>
      <c r="I14" s="1">
        <v>800</v>
      </c>
      <c r="J14" s="1">
        <v>1.5</v>
      </c>
      <c r="K14" s="1">
        <v>1.5</v>
      </c>
      <c r="L14" s="1">
        <v>3</v>
      </c>
    </row>
    <row r="15" spans="1:12" x14ac:dyDescent="0.25">
      <c r="A15" s="1">
        <v>800</v>
      </c>
      <c r="B15" s="1">
        <v>900</v>
      </c>
      <c r="C15" s="1">
        <v>14.85</v>
      </c>
      <c r="D15" s="1">
        <v>4.25</v>
      </c>
      <c r="E15" s="1">
        <v>19.100000000000001</v>
      </c>
      <c r="F15" s="1">
        <v>10.6</v>
      </c>
      <c r="H15" s="1">
        <v>800</v>
      </c>
      <c r="I15" s="1">
        <v>900</v>
      </c>
      <c r="J15" s="1">
        <v>1.7</v>
      </c>
      <c r="K15" s="1">
        <v>1.7</v>
      </c>
      <c r="L15" s="1">
        <v>3.4</v>
      </c>
    </row>
    <row r="16" spans="1:12" x14ac:dyDescent="0.25">
      <c r="A16" s="1">
        <v>900</v>
      </c>
      <c r="B16" s="1">
        <v>1000</v>
      </c>
      <c r="C16" s="1">
        <v>16.649999999999999</v>
      </c>
      <c r="D16" s="1">
        <v>4.75</v>
      </c>
      <c r="E16" s="1">
        <v>21.4</v>
      </c>
      <c r="F16" s="1">
        <v>11.9</v>
      </c>
      <c r="H16" s="1">
        <v>900</v>
      </c>
      <c r="I16" s="1">
        <v>1000</v>
      </c>
      <c r="J16" s="1">
        <v>1.9</v>
      </c>
      <c r="K16" s="1">
        <v>1.9</v>
      </c>
      <c r="L16" s="1">
        <v>3.8</v>
      </c>
    </row>
    <row r="17" spans="1:12" x14ac:dyDescent="0.25">
      <c r="A17" s="1">
        <v>1000</v>
      </c>
      <c r="B17" s="1">
        <v>1100</v>
      </c>
      <c r="C17" s="1">
        <v>18.350000000000001</v>
      </c>
      <c r="D17" s="1">
        <v>5.25</v>
      </c>
      <c r="E17" s="1">
        <v>23.6</v>
      </c>
      <c r="F17" s="1">
        <v>13.1</v>
      </c>
      <c r="H17" s="1">
        <v>1000</v>
      </c>
      <c r="I17" s="1">
        <v>1100</v>
      </c>
      <c r="J17" s="1">
        <v>2.1</v>
      </c>
      <c r="K17" s="1">
        <v>2.1</v>
      </c>
      <c r="L17" s="1">
        <v>4.2</v>
      </c>
    </row>
    <row r="18" spans="1:12" x14ac:dyDescent="0.25">
      <c r="A18" s="1">
        <v>1100</v>
      </c>
      <c r="B18" s="1">
        <v>1200</v>
      </c>
      <c r="C18" s="1">
        <v>20.149999999999999</v>
      </c>
      <c r="D18" s="1">
        <v>5.75</v>
      </c>
      <c r="E18" s="1">
        <v>25.9</v>
      </c>
      <c r="F18" s="1">
        <v>14.4</v>
      </c>
      <c r="H18" s="1">
        <v>1100</v>
      </c>
      <c r="I18" s="1">
        <v>1200</v>
      </c>
      <c r="J18" s="1">
        <v>2.2999999999999998</v>
      </c>
      <c r="K18" s="1">
        <v>2.2999999999999998</v>
      </c>
      <c r="L18" s="1">
        <v>4.5999999999999996</v>
      </c>
    </row>
    <row r="19" spans="1:12" x14ac:dyDescent="0.25">
      <c r="A19" s="1">
        <v>1200</v>
      </c>
      <c r="B19" s="1">
        <v>1300</v>
      </c>
      <c r="C19" s="1">
        <v>21.85</v>
      </c>
      <c r="D19" s="1">
        <v>6.25</v>
      </c>
      <c r="E19" s="1">
        <v>28.1</v>
      </c>
      <c r="F19" s="1">
        <v>15.6</v>
      </c>
      <c r="H19" s="1">
        <v>1200</v>
      </c>
      <c r="I19" s="1">
        <v>1300</v>
      </c>
      <c r="J19" s="1">
        <v>2.5</v>
      </c>
      <c r="K19" s="1">
        <v>2.5</v>
      </c>
      <c r="L19" s="1">
        <v>5</v>
      </c>
    </row>
    <row r="20" spans="1:12" x14ac:dyDescent="0.25">
      <c r="A20" s="1">
        <v>1300</v>
      </c>
      <c r="B20" s="1">
        <v>1400</v>
      </c>
      <c r="C20" s="1">
        <v>23.65</v>
      </c>
      <c r="D20" s="1">
        <v>6.75</v>
      </c>
      <c r="E20" s="1">
        <v>30.4</v>
      </c>
      <c r="F20" s="1">
        <v>16.899999999999999</v>
      </c>
      <c r="H20" s="1">
        <v>1300</v>
      </c>
      <c r="I20" s="1">
        <v>1400</v>
      </c>
      <c r="J20" s="1">
        <v>2.7</v>
      </c>
      <c r="K20" s="1">
        <v>2.7</v>
      </c>
      <c r="L20" s="1">
        <v>5.4</v>
      </c>
    </row>
    <row r="21" spans="1:12" x14ac:dyDescent="0.25">
      <c r="A21" s="1">
        <v>1400</v>
      </c>
      <c r="B21" s="1">
        <v>1500</v>
      </c>
      <c r="C21" s="1">
        <v>25.35</v>
      </c>
      <c r="D21" s="1">
        <v>7.25</v>
      </c>
      <c r="E21" s="1">
        <v>32.6</v>
      </c>
      <c r="F21" s="1">
        <v>18.100000000000001</v>
      </c>
      <c r="H21" s="1">
        <v>1400</v>
      </c>
      <c r="I21" s="1">
        <v>1500</v>
      </c>
      <c r="J21" s="1">
        <v>2.9</v>
      </c>
      <c r="K21" s="1">
        <v>2.9</v>
      </c>
      <c r="L21" s="1">
        <v>5.8</v>
      </c>
    </row>
    <row r="22" spans="1:12" x14ac:dyDescent="0.25">
      <c r="A22" s="1">
        <v>1500</v>
      </c>
      <c r="B22" s="1">
        <v>1600</v>
      </c>
      <c r="C22" s="1">
        <v>27.15</v>
      </c>
      <c r="D22" s="1">
        <v>7.75</v>
      </c>
      <c r="E22" s="1">
        <v>34.9</v>
      </c>
      <c r="F22" s="1">
        <v>19.399999999999999</v>
      </c>
      <c r="H22" s="1">
        <v>1500</v>
      </c>
      <c r="I22" s="1">
        <v>1600</v>
      </c>
      <c r="J22" s="1">
        <v>3.1</v>
      </c>
      <c r="K22" s="1">
        <v>3.1</v>
      </c>
      <c r="L22" s="1">
        <v>6.2</v>
      </c>
    </row>
    <row r="23" spans="1:12" x14ac:dyDescent="0.25">
      <c r="A23" s="1">
        <v>1600</v>
      </c>
      <c r="B23" s="1">
        <v>1700</v>
      </c>
      <c r="C23" s="1">
        <v>28.85</v>
      </c>
      <c r="D23" s="1">
        <v>8.25</v>
      </c>
      <c r="E23" s="1">
        <v>37.1</v>
      </c>
      <c r="F23" s="1">
        <v>20.6</v>
      </c>
      <c r="H23" s="1">
        <v>1600</v>
      </c>
      <c r="I23" s="1">
        <v>1700</v>
      </c>
      <c r="J23" s="1">
        <v>3.3</v>
      </c>
      <c r="K23" s="1">
        <v>3.3</v>
      </c>
      <c r="L23" s="1">
        <v>6.6</v>
      </c>
    </row>
    <row r="24" spans="1:12" x14ac:dyDescent="0.25">
      <c r="A24" s="1">
        <v>1700</v>
      </c>
      <c r="B24" s="1">
        <v>1800</v>
      </c>
      <c r="C24" s="1">
        <v>30.65</v>
      </c>
      <c r="D24" s="1">
        <v>8.75</v>
      </c>
      <c r="E24" s="1">
        <v>39.4</v>
      </c>
      <c r="F24" s="1">
        <v>21.9</v>
      </c>
      <c r="H24" s="1">
        <v>1700</v>
      </c>
      <c r="I24" s="1">
        <v>1800</v>
      </c>
      <c r="J24" s="1">
        <v>3.5</v>
      </c>
      <c r="K24" s="1">
        <v>3.5</v>
      </c>
      <c r="L24" s="1">
        <v>7</v>
      </c>
    </row>
    <row r="25" spans="1:12" x14ac:dyDescent="0.25">
      <c r="A25" s="1">
        <v>1800</v>
      </c>
      <c r="B25" s="1">
        <v>1900</v>
      </c>
      <c r="C25" s="1">
        <v>32.35</v>
      </c>
      <c r="D25" s="1">
        <v>9.25</v>
      </c>
      <c r="E25" s="1">
        <v>41.6</v>
      </c>
      <c r="F25" s="1">
        <v>23.1</v>
      </c>
      <c r="H25" s="1">
        <v>1800</v>
      </c>
      <c r="I25" s="1">
        <v>1900</v>
      </c>
      <c r="J25" s="1">
        <v>3.7</v>
      </c>
      <c r="K25" s="1">
        <v>3.7</v>
      </c>
      <c r="L25" s="1">
        <v>7.4</v>
      </c>
    </row>
    <row r="26" spans="1:12" x14ac:dyDescent="0.25">
      <c r="A26" s="1">
        <v>1900</v>
      </c>
      <c r="B26" s="1">
        <v>2000</v>
      </c>
      <c r="C26" s="1">
        <v>34.15</v>
      </c>
      <c r="D26" s="1">
        <v>9.75</v>
      </c>
      <c r="E26" s="1">
        <v>43.9</v>
      </c>
      <c r="F26" s="1">
        <v>24.4</v>
      </c>
      <c r="H26" s="1">
        <v>1900</v>
      </c>
      <c r="I26" s="1">
        <v>2000</v>
      </c>
      <c r="J26" s="1">
        <v>3.9</v>
      </c>
      <c r="K26" s="1">
        <v>3.9</v>
      </c>
      <c r="L26" s="1">
        <v>7.8</v>
      </c>
    </row>
    <row r="27" spans="1:12" x14ac:dyDescent="0.25">
      <c r="A27" s="1">
        <v>2000</v>
      </c>
      <c r="B27" s="1">
        <v>2100</v>
      </c>
      <c r="C27" s="1">
        <v>35.85</v>
      </c>
      <c r="D27" s="1">
        <v>10.25</v>
      </c>
      <c r="E27" s="1">
        <v>46.1</v>
      </c>
      <c r="F27" s="1">
        <v>25.6</v>
      </c>
      <c r="H27" s="1">
        <v>2000</v>
      </c>
      <c r="I27" s="1">
        <v>2100</v>
      </c>
      <c r="J27" s="1">
        <v>4.0999999999999996</v>
      </c>
      <c r="K27" s="1">
        <v>4.0999999999999996</v>
      </c>
      <c r="L27" s="1">
        <v>8.1999999999999993</v>
      </c>
    </row>
    <row r="28" spans="1:12" x14ac:dyDescent="0.25">
      <c r="A28" s="1">
        <v>2100</v>
      </c>
      <c r="B28" s="1">
        <v>2200</v>
      </c>
      <c r="C28" s="1">
        <v>37.65</v>
      </c>
      <c r="D28" s="1">
        <v>10.75</v>
      </c>
      <c r="E28" s="1">
        <v>48.4</v>
      </c>
      <c r="F28" s="1">
        <v>26.9</v>
      </c>
      <c r="H28" s="1">
        <v>2100</v>
      </c>
      <c r="I28" s="1">
        <v>2200</v>
      </c>
      <c r="J28" s="1">
        <v>4.3</v>
      </c>
      <c r="K28" s="1">
        <v>4.3</v>
      </c>
      <c r="L28" s="1">
        <v>8.6</v>
      </c>
    </row>
    <row r="29" spans="1:12" x14ac:dyDescent="0.25">
      <c r="A29" s="1">
        <v>2200</v>
      </c>
      <c r="B29" s="1">
        <v>2300</v>
      </c>
      <c r="C29" s="1">
        <v>39.35</v>
      </c>
      <c r="D29" s="1">
        <v>11.25</v>
      </c>
      <c r="E29" s="1">
        <v>50.6</v>
      </c>
      <c r="F29" s="1">
        <v>28.1</v>
      </c>
      <c r="H29" s="1">
        <v>2200</v>
      </c>
      <c r="I29" s="1">
        <v>2300</v>
      </c>
      <c r="J29" s="1">
        <v>4.5</v>
      </c>
      <c r="K29" s="1">
        <v>4.5</v>
      </c>
      <c r="L29" s="1">
        <v>9</v>
      </c>
    </row>
    <row r="30" spans="1:12" x14ac:dyDescent="0.25">
      <c r="A30" s="1">
        <v>2300</v>
      </c>
      <c r="B30" s="1">
        <v>2400</v>
      </c>
      <c r="C30" s="1">
        <v>41.15</v>
      </c>
      <c r="D30" s="1">
        <v>11.75</v>
      </c>
      <c r="E30" s="1">
        <v>52.9</v>
      </c>
      <c r="F30" s="1">
        <v>29.4</v>
      </c>
      <c r="H30" s="1">
        <v>2300</v>
      </c>
      <c r="I30" s="1">
        <v>2400</v>
      </c>
      <c r="J30" s="1">
        <v>4.7</v>
      </c>
      <c r="K30" s="1">
        <v>4.7</v>
      </c>
      <c r="L30" s="1">
        <v>9.4</v>
      </c>
    </row>
    <row r="31" spans="1:12" x14ac:dyDescent="0.25">
      <c r="A31" s="1">
        <v>2400</v>
      </c>
      <c r="B31" s="1">
        <v>2500</v>
      </c>
      <c r="C31" s="1">
        <v>42.85</v>
      </c>
      <c r="D31" s="1">
        <v>12.25</v>
      </c>
      <c r="E31" s="1">
        <v>55.1</v>
      </c>
      <c r="F31" s="1">
        <v>30.6</v>
      </c>
      <c r="H31" s="1">
        <v>2400</v>
      </c>
      <c r="I31" s="1">
        <v>2500</v>
      </c>
      <c r="J31" s="1">
        <v>4.9000000000000004</v>
      </c>
      <c r="K31" s="1">
        <v>4.9000000000000004</v>
      </c>
      <c r="L31" s="1">
        <v>9.8000000000000007</v>
      </c>
    </row>
    <row r="32" spans="1:12" x14ac:dyDescent="0.25">
      <c r="A32" s="1">
        <v>2500</v>
      </c>
      <c r="B32" s="1">
        <v>2600</v>
      </c>
      <c r="C32" s="1">
        <v>44.65</v>
      </c>
      <c r="D32" s="1">
        <v>12.75</v>
      </c>
      <c r="E32" s="1">
        <v>57.4</v>
      </c>
      <c r="F32" s="1">
        <v>31.9</v>
      </c>
      <c r="H32" s="1">
        <v>2500</v>
      </c>
      <c r="I32" s="1">
        <v>2600</v>
      </c>
      <c r="J32" s="1">
        <v>5.0999999999999996</v>
      </c>
      <c r="K32" s="1">
        <v>5.0999999999999996</v>
      </c>
      <c r="L32" s="1">
        <v>10.199999999999999</v>
      </c>
    </row>
    <row r="33" spans="1:12" x14ac:dyDescent="0.25">
      <c r="A33" s="1">
        <v>2600</v>
      </c>
      <c r="B33" s="1">
        <v>2700</v>
      </c>
      <c r="C33" s="1">
        <v>46.35</v>
      </c>
      <c r="D33" s="1">
        <v>13.25</v>
      </c>
      <c r="E33" s="1">
        <v>59.6</v>
      </c>
      <c r="F33" s="1">
        <v>33.1</v>
      </c>
      <c r="H33" s="1">
        <v>2600</v>
      </c>
      <c r="I33" s="1">
        <v>2700</v>
      </c>
      <c r="J33" s="1">
        <v>5.3</v>
      </c>
      <c r="K33" s="1">
        <v>5.3</v>
      </c>
      <c r="L33" s="1">
        <v>10.6</v>
      </c>
    </row>
    <row r="34" spans="1:12" x14ac:dyDescent="0.25">
      <c r="A34" s="1">
        <v>2700</v>
      </c>
      <c r="B34" s="1">
        <v>2800</v>
      </c>
      <c r="C34" s="1">
        <v>48.15</v>
      </c>
      <c r="D34" s="1">
        <v>13.75</v>
      </c>
      <c r="E34" s="1">
        <v>61.9</v>
      </c>
      <c r="F34" s="1">
        <v>34.4</v>
      </c>
      <c r="H34" s="1">
        <v>2700</v>
      </c>
      <c r="I34" s="1">
        <v>2800</v>
      </c>
      <c r="J34" s="1">
        <v>5.5</v>
      </c>
      <c r="K34" s="1">
        <v>5.5</v>
      </c>
      <c r="L34" s="1">
        <v>11</v>
      </c>
    </row>
    <row r="35" spans="1:12" x14ac:dyDescent="0.25">
      <c r="A35" s="1">
        <v>2800</v>
      </c>
      <c r="B35" s="1">
        <v>2900</v>
      </c>
      <c r="C35" s="1">
        <v>49.85</v>
      </c>
      <c r="D35" s="1">
        <v>14.25</v>
      </c>
      <c r="E35" s="1">
        <v>64.099999999999994</v>
      </c>
      <c r="F35" s="1">
        <v>35.6</v>
      </c>
      <c r="H35" s="1">
        <v>2800</v>
      </c>
      <c r="I35" s="1">
        <v>2900</v>
      </c>
      <c r="J35" s="1">
        <v>5.7</v>
      </c>
      <c r="K35" s="1">
        <v>5.7</v>
      </c>
      <c r="L35" s="1">
        <v>11.4</v>
      </c>
    </row>
    <row r="36" spans="1:12" x14ac:dyDescent="0.25">
      <c r="A36" s="1">
        <v>2900</v>
      </c>
      <c r="B36" s="1">
        <v>3000</v>
      </c>
      <c r="C36" s="1">
        <v>51.65</v>
      </c>
      <c r="D36" s="1">
        <v>14.75</v>
      </c>
      <c r="E36" s="1">
        <v>66.400000000000006</v>
      </c>
      <c r="F36" s="1">
        <v>36.9</v>
      </c>
      <c r="H36" s="1">
        <v>2900</v>
      </c>
      <c r="I36" s="1">
        <v>3000</v>
      </c>
      <c r="J36" s="1">
        <v>5.9</v>
      </c>
      <c r="K36" s="1">
        <v>5.9</v>
      </c>
      <c r="L36" s="1">
        <v>11.8</v>
      </c>
    </row>
    <row r="37" spans="1:12" x14ac:dyDescent="0.25">
      <c r="A37" s="1">
        <v>3000</v>
      </c>
      <c r="B37" s="1">
        <v>3100</v>
      </c>
      <c r="C37" s="1">
        <v>53.35</v>
      </c>
      <c r="D37" s="1">
        <v>15.25</v>
      </c>
      <c r="E37" s="1">
        <v>68.599999999999994</v>
      </c>
      <c r="F37" s="1">
        <v>38.1</v>
      </c>
      <c r="H37" s="1">
        <v>3000</v>
      </c>
      <c r="I37" s="1">
        <v>3100</v>
      </c>
      <c r="J37" s="1">
        <v>6.1</v>
      </c>
      <c r="K37" s="1">
        <v>6.1</v>
      </c>
      <c r="L37" s="1">
        <v>12.2</v>
      </c>
    </row>
    <row r="38" spans="1:12" x14ac:dyDescent="0.25">
      <c r="A38" s="1">
        <v>3100</v>
      </c>
      <c r="B38" s="1">
        <v>3200</v>
      </c>
      <c r="C38" s="1">
        <v>55.15</v>
      </c>
      <c r="D38" s="1">
        <v>15.75</v>
      </c>
      <c r="E38" s="1">
        <v>70.900000000000006</v>
      </c>
      <c r="F38" s="1">
        <v>39.4</v>
      </c>
      <c r="H38" s="1">
        <v>3100</v>
      </c>
      <c r="I38" s="1">
        <v>3200</v>
      </c>
      <c r="J38" s="1">
        <v>6.3</v>
      </c>
      <c r="K38" s="1">
        <v>6.3</v>
      </c>
      <c r="L38" s="1">
        <v>12.6</v>
      </c>
    </row>
    <row r="39" spans="1:12" x14ac:dyDescent="0.25">
      <c r="A39" s="1">
        <v>3200</v>
      </c>
      <c r="B39" s="1">
        <v>3300</v>
      </c>
      <c r="C39" s="1">
        <v>56.85</v>
      </c>
      <c r="D39" s="1">
        <v>16.25</v>
      </c>
      <c r="E39" s="1">
        <v>73.099999999999994</v>
      </c>
      <c r="F39" s="1">
        <v>40.6</v>
      </c>
      <c r="H39" s="1">
        <v>3200</v>
      </c>
      <c r="I39" s="1">
        <v>3300</v>
      </c>
      <c r="J39" s="1">
        <v>6.5</v>
      </c>
      <c r="K39" s="1">
        <v>6.5</v>
      </c>
      <c r="L39" s="1">
        <v>13</v>
      </c>
    </row>
    <row r="40" spans="1:12" x14ac:dyDescent="0.25">
      <c r="A40" s="1">
        <v>3300</v>
      </c>
      <c r="B40" s="1">
        <v>3400</v>
      </c>
      <c r="C40" s="1">
        <v>58.65</v>
      </c>
      <c r="D40" s="1">
        <v>16.75</v>
      </c>
      <c r="E40" s="1">
        <v>75.400000000000006</v>
      </c>
      <c r="F40" s="1">
        <v>41.9</v>
      </c>
      <c r="H40" s="1">
        <v>3300</v>
      </c>
      <c r="I40" s="1">
        <v>3400</v>
      </c>
      <c r="J40" s="1">
        <v>6.7</v>
      </c>
      <c r="K40" s="1">
        <v>6.7</v>
      </c>
      <c r="L40" s="1">
        <v>13.4</v>
      </c>
    </row>
    <row r="41" spans="1:12" x14ac:dyDescent="0.25">
      <c r="A41" s="1">
        <v>3400</v>
      </c>
      <c r="B41" s="1">
        <v>3500</v>
      </c>
      <c r="C41" s="1">
        <v>60.35</v>
      </c>
      <c r="D41" s="1">
        <v>17.25</v>
      </c>
      <c r="E41" s="1">
        <v>77.599999999999994</v>
      </c>
      <c r="F41" s="1">
        <v>43.1</v>
      </c>
      <c r="H41" s="1">
        <v>3400</v>
      </c>
      <c r="I41" s="1">
        <v>3500</v>
      </c>
      <c r="J41" s="1">
        <v>6.9</v>
      </c>
      <c r="K41" s="1">
        <v>6.9</v>
      </c>
      <c r="L41" s="1">
        <v>13.8</v>
      </c>
    </row>
    <row r="42" spans="1:12" x14ac:dyDescent="0.25">
      <c r="A42" s="1">
        <v>3500</v>
      </c>
      <c r="B42" s="1">
        <v>3600</v>
      </c>
      <c r="C42" s="1">
        <v>62.15</v>
      </c>
      <c r="D42" s="1">
        <v>17.75</v>
      </c>
      <c r="E42" s="1">
        <v>79.900000000000006</v>
      </c>
      <c r="F42" s="1">
        <v>44.4</v>
      </c>
      <c r="H42" s="1">
        <v>3500</v>
      </c>
      <c r="I42" s="1">
        <v>3600</v>
      </c>
      <c r="J42" s="1">
        <v>7.1</v>
      </c>
      <c r="K42" s="1">
        <v>7.1</v>
      </c>
      <c r="L42" s="1">
        <v>14.2</v>
      </c>
    </row>
    <row r="43" spans="1:12" x14ac:dyDescent="0.25">
      <c r="A43" s="1">
        <v>3600</v>
      </c>
      <c r="B43" s="1">
        <v>3700</v>
      </c>
      <c r="C43" s="1">
        <v>63.85</v>
      </c>
      <c r="D43" s="1">
        <v>18.25</v>
      </c>
      <c r="E43" s="1">
        <v>82.1</v>
      </c>
      <c r="F43" s="1">
        <v>45.6</v>
      </c>
      <c r="H43" s="1">
        <v>3600</v>
      </c>
      <c r="I43" s="1">
        <v>3700</v>
      </c>
      <c r="J43" s="1">
        <v>7.3</v>
      </c>
      <c r="K43" s="1">
        <v>7.3</v>
      </c>
      <c r="L43" s="1">
        <v>14.6</v>
      </c>
    </row>
    <row r="44" spans="1:12" x14ac:dyDescent="0.25">
      <c r="A44" s="1">
        <v>3700</v>
      </c>
      <c r="B44" s="1">
        <v>3800</v>
      </c>
      <c r="C44" s="1">
        <v>65.650000000000006</v>
      </c>
      <c r="D44" s="1">
        <v>18.75</v>
      </c>
      <c r="E44" s="1">
        <v>84.4</v>
      </c>
      <c r="F44" s="1">
        <v>46.9</v>
      </c>
      <c r="H44" s="1">
        <v>3700</v>
      </c>
      <c r="I44" s="1">
        <v>3800</v>
      </c>
      <c r="J44" s="1">
        <v>7.5</v>
      </c>
      <c r="K44" s="1">
        <v>7.5</v>
      </c>
      <c r="L44" s="1">
        <v>15</v>
      </c>
    </row>
    <row r="45" spans="1:12" x14ac:dyDescent="0.25">
      <c r="A45" s="1">
        <v>3800</v>
      </c>
      <c r="B45" s="1">
        <v>3900</v>
      </c>
      <c r="C45" s="1">
        <v>67.349999999999994</v>
      </c>
      <c r="D45" s="1">
        <v>19.25</v>
      </c>
      <c r="E45" s="1">
        <v>86.6</v>
      </c>
      <c r="F45" s="1">
        <v>48.1</v>
      </c>
      <c r="H45" s="1">
        <v>3800</v>
      </c>
      <c r="I45" s="1">
        <v>3900</v>
      </c>
      <c r="J45" s="1">
        <v>7.7</v>
      </c>
      <c r="K45" s="1">
        <v>7.7</v>
      </c>
      <c r="L45" s="1">
        <v>15.4</v>
      </c>
    </row>
    <row r="46" spans="1:12" x14ac:dyDescent="0.25">
      <c r="A46" s="1">
        <v>3900</v>
      </c>
      <c r="B46" s="1">
        <v>4000</v>
      </c>
      <c r="C46" s="1">
        <v>69.150000000000006</v>
      </c>
      <c r="D46" s="1">
        <v>19.75</v>
      </c>
      <c r="E46" s="1">
        <v>88.9</v>
      </c>
      <c r="F46" s="1">
        <v>49.4</v>
      </c>
      <c r="H46" s="1">
        <v>3900</v>
      </c>
      <c r="I46" s="1">
        <v>4000</v>
      </c>
      <c r="J46" s="1">
        <v>7.9</v>
      </c>
      <c r="K46" s="1">
        <v>7.9</v>
      </c>
      <c r="L46" s="1">
        <v>15.8</v>
      </c>
    </row>
    <row r="47" spans="1:12" x14ac:dyDescent="0.25">
      <c r="A47" s="1">
        <v>4000</v>
      </c>
      <c r="B47" s="1">
        <v>4100</v>
      </c>
      <c r="C47" s="1">
        <v>70.849999999999994</v>
      </c>
      <c r="D47" s="1">
        <v>20.25</v>
      </c>
      <c r="E47" s="1">
        <v>91.1</v>
      </c>
      <c r="F47" s="1">
        <v>50.6</v>
      </c>
      <c r="H47" s="1">
        <v>4000</v>
      </c>
      <c r="I47" s="1">
        <v>4100</v>
      </c>
      <c r="J47" s="1">
        <v>8.1</v>
      </c>
      <c r="K47" s="1">
        <v>8.1</v>
      </c>
      <c r="L47" s="1">
        <v>16.2</v>
      </c>
    </row>
    <row r="48" spans="1:12" x14ac:dyDescent="0.25">
      <c r="A48" s="1">
        <v>4100</v>
      </c>
      <c r="B48" s="1">
        <v>4200</v>
      </c>
      <c r="C48" s="1">
        <v>72.650000000000006</v>
      </c>
      <c r="D48" s="1">
        <v>20.75</v>
      </c>
      <c r="E48" s="1">
        <v>93.4</v>
      </c>
      <c r="F48" s="1">
        <v>51.9</v>
      </c>
      <c r="H48" s="1">
        <v>4100</v>
      </c>
      <c r="I48" s="1">
        <v>4200</v>
      </c>
      <c r="J48" s="1">
        <v>8.3000000000000007</v>
      </c>
      <c r="K48" s="1">
        <v>8.3000000000000007</v>
      </c>
      <c r="L48" s="1">
        <v>16.600000000000001</v>
      </c>
    </row>
    <row r="49" spans="1:12" x14ac:dyDescent="0.25">
      <c r="A49" s="1">
        <v>4200</v>
      </c>
      <c r="B49" s="1">
        <v>4300</v>
      </c>
      <c r="C49" s="1">
        <v>74.349999999999994</v>
      </c>
      <c r="D49" s="1">
        <v>21.25</v>
      </c>
      <c r="E49" s="1">
        <v>95.6</v>
      </c>
      <c r="F49" s="1">
        <v>53.1</v>
      </c>
      <c r="H49" s="1">
        <v>4200</v>
      </c>
      <c r="I49" s="1">
        <v>4300</v>
      </c>
      <c r="J49" s="1">
        <v>8.5</v>
      </c>
      <c r="K49" s="1">
        <v>8.5</v>
      </c>
      <c r="L49" s="1">
        <v>17</v>
      </c>
    </row>
    <row r="50" spans="1:12" x14ac:dyDescent="0.25">
      <c r="A50" s="1">
        <v>4300</v>
      </c>
      <c r="B50" s="1">
        <v>4400</v>
      </c>
      <c r="C50" s="1">
        <v>76.150000000000006</v>
      </c>
      <c r="D50" s="1">
        <v>21.75</v>
      </c>
      <c r="E50" s="1">
        <v>97.9</v>
      </c>
      <c r="F50" s="1">
        <v>54.4</v>
      </c>
      <c r="H50" s="1">
        <v>4300</v>
      </c>
      <c r="I50" s="1">
        <v>4400</v>
      </c>
      <c r="J50" s="1">
        <v>8.6999999999999993</v>
      </c>
      <c r="K50" s="1">
        <v>8.6999999999999993</v>
      </c>
      <c r="L50" s="1">
        <v>17.399999999999999</v>
      </c>
    </row>
    <row r="51" spans="1:12" x14ac:dyDescent="0.25">
      <c r="A51" s="1">
        <v>4400</v>
      </c>
      <c r="B51" s="1">
        <v>4500</v>
      </c>
      <c r="C51" s="1">
        <v>77.849999999999994</v>
      </c>
      <c r="D51" s="1">
        <v>22.25</v>
      </c>
      <c r="E51" s="1">
        <v>100.1</v>
      </c>
      <c r="F51" s="1">
        <v>55.6</v>
      </c>
      <c r="H51" s="1">
        <v>4400</v>
      </c>
      <c r="I51" s="1">
        <v>4500</v>
      </c>
      <c r="J51" s="1">
        <v>8.9</v>
      </c>
      <c r="K51" s="1">
        <v>8.9</v>
      </c>
      <c r="L51" s="1">
        <v>17.8</v>
      </c>
    </row>
    <row r="52" spans="1:12" x14ac:dyDescent="0.25">
      <c r="A52" s="1">
        <v>4500</v>
      </c>
      <c r="B52" s="1">
        <v>4600</v>
      </c>
      <c r="C52" s="1">
        <v>79.650000000000006</v>
      </c>
      <c r="D52" s="1">
        <v>22.75</v>
      </c>
      <c r="E52" s="1">
        <v>102.4</v>
      </c>
      <c r="F52" s="1">
        <v>56.9</v>
      </c>
      <c r="H52" s="1">
        <v>4500</v>
      </c>
      <c r="I52" s="1">
        <v>4600</v>
      </c>
      <c r="J52" s="1">
        <v>9.1</v>
      </c>
      <c r="K52" s="1">
        <v>9.1</v>
      </c>
      <c r="L52" s="1">
        <v>18.2</v>
      </c>
    </row>
    <row r="53" spans="1:12" x14ac:dyDescent="0.25">
      <c r="A53" s="1">
        <v>4600</v>
      </c>
      <c r="B53" s="1">
        <v>4700</v>
      </c>
      <c r="C53" s="1">
        <v>81.349999999999994</v>
      </c>
      <c r="D53" s="1">
        <v>23.25</v>
      </c>
      <c r="E53" s="1">
        <v>104.6</v>
      </c>
      <c r="F53" s="1">
        <v>58.1</v>
      </c>
      <c r="H53" s="1">
        <v>4600</v>
      </c>
      <c r="I53" s="1">
        <v>4700</v>
      </c>
      <c r="J53" s="1">
        <v>9.3000000000000007</v>
      </c>
      <c r="K53" s="1">
        <v>9.3000000000000007</v>
      </c>
      <c r="L53" s="1">
        <v>18.600000000000001</v>
      </c>
    </row>
    <row r="54" spans="1:12" x14ac:dyDescent="0.25">
      <c r="A54" s="1">
        <v>4700</v>
      </c>
      <c r="B54" s="1">
        <v>4800</v>
      </c>
      <c r="C54" s="1">
        <v>83.15</v>
      </c>
      <c r="D54" s="1">
        <v>23.75</v>
      </c>
      <c r="E54" s="1">
        <v>106.9</v>
      </c>
      <c r="F54" s="1">
        <v>59.4</v>
      </c>
      <c r="H54" s="1">
        <v>4700</v>
      </c>
      <c r="I54" s="1">
        <v>4800</v>
      </c>
      <c r="J54" s="1">
        <v>9.5</v>
      </c>
      <c r="K54" s="1">
        <v>9.5</v>
      </c>
      <c r="L54" s="1">
        <v>19</v>
      </c>
    </row>
    <row r="55" spans="1:12" x14ac:dyDescent="0.25">
      <c r="A55" s="1">
        <v>4800</v>
      </c>
      <c r="B55" s="1">
        <v>4900</v>
      </c>
      <c r="C55" s="1">
        <v>84.85</v>
      </c>
      <c r="D55" s="1">
        <v>24.25</v>
      </c>
      <c r="E55" s="1">
        <v>109.1</v>
      </c>
      <c r="F55" s="1">
        <v>60.6</v>
      </c>
      <c r="H55" s="1">
        <v>4800</v>
      </c>
      <c r="I55" s="1">
        <v>4900</v>
      </c>
      <c r="J55" s="1">
        <v>9.6999999999999993</v>
      </c>
      <c r="K55" s="1">
        <v>9.6999999999999993</v>
      </c>
      <c r="L55" s="1">
        <v>19.399999999999999</v>
      </c>
    </row>
    <row r="56" spans="1:12" x14ac:dyDescent="0.25">
      <c r="A56" s="1">
        <v>4900</v>
      </c>
      <c r="B56" s="1">
        <v>5000</v>
      </c>
      <c r="C56" s="1">
        <v>86.65</v>
      </c>
      <c r="D56" s="1">
        <v>24.75</v>
      </c>
      <c r="E56" s="1">
        <v>111.4</v>
      </c>
      <c r="F56" s="1">
        <v>61.9</v>
      </c>
      <c r="H56" s="1">
        <v>4900</v>
      </c>
      <c r="I56" s="1">
        <v>5000</v>
      </c>
      <c r="J56" s="1">
        <v>9.9</v>
      </c>
      <c r="K56" s="1">
        <v>9.9</v>
      </c>
      <c r="L56" s="1">
        <v>19.8</v>
      </c>
    </row>
    <row r="57" spans="1:12" x14ac:dyDescent="0.25">
      <c r="A57" s="1">
        <v>5000</v>
      </c>
      <c r="B57" s="1">
        <v>5100</v>
      </c>
      <c r="C57" s="1">
        <v>88.35</v>
      </c>
      <c r="D57" s="1">
        <v>25.25</v>
      </c>
      <c r="E57" s="1">
        <v>113.6</v>
      </c>
      <c r="F57" s="1">
        <v>63.1</v>
      </c>
      <c r="H57" s="1">
        <v>5000</v>
      </c>
      <c r="I57" s="1">
        <v>5100</v>
      </c>
      <c r="J57" s="1">
        <v>10.1</v>
      </c>
      <c r="K57" s="1">
        <v>10.1</v>
      </c>
      <c r="L57" s="1">
        <v>20.2</v>
      </c>
    </row>
    <row r="58" spans="1:12" x14ac:dyDescent="0.25">
      <c r="A58" s="1">
        <v>5100</v>
      </c>
      <c r="B58" s="1">
        <v>5200</v>
      </c>
      <c r="C58" s="1">
        <v>90.15</v>
      </c>
      <c r="D58" s="1">
        <v>25.75</v>
      </c>
      <c r="E58" s="1">
        <v>115.9</v>
      </c>
      <c r="F58" s="1">
        <v>64.400000000000006</v>
      </c>
      <c r="H58" s="1">
        <v>5100</v>
      </c>
      <c r="I58" s="1">
        <v>5200</v>
      </c>
      <c r="J58" s="1">
        <v>10.3</v>
      </c>
      <c r="K58" s="1">
        <v>10.3</v>
      </c>
      <c r="L58" s="1">
        <v>20.6</v>
      </c>
    </row>
    <row r="59" spans="1:12" x14ac:dyDescent="0.25">
      <c r="A59" s="1">
        <v>5200</v>
      </c>
      <c r="B59" s="1">
        <v>5300</v>
      </c>
      <c r="C59" s="1">
        <v>91.85</v>
      </c>
      <c r="D59" s="1">
        <v>26.25</v>
      </c>
      <c r="E59" s="1">
        <v>118.1</v>
      </c>
      <c r="F59" s="1">
        <v>65.599999999999994</v>
      </c>
      <c r="H59" s="1">
        <v>5200</v>
      </c>
      <c r="I59" s="1">
        <v>5300</v>
      </c>
      <c r="J59" s="1">
        <v>10.5</v>
      </c>
      <c r="K59" s="1">
        <v>10.5</v>
      </c>
      <c r="L59" s="1">
        <v>21</v>
      </c>
    </row>
    <row r="60" spans="1:12" x14ac:dyDescent="0.25">
      <c r="A60" s="1">
        <v>5300</v>
      </c>
      <c r="B60" s="1">
        <v>5400</v>
      </c>
      <c r="C60" s="1">
        <v>93.65</v>
      </c>
      <c r="D60" s="1">
        <v>26.75</v>
      </c>
      <c r="E60" s="1">
        <v>120.4</v>
      </c>
      <c r="F60" s="1">
        <v>66.900000000000006</v>
      </c>
      <c r="H60" s="1">
        <v>5300</v>
      </c>
      <c r="I60" s="1">
        <v>5400</v>
      </c>
      <c r="J60" s="1">
        <v>10.7</v>
      </c>
      <c r="K60" s="1">
        <v>10.7</v>
      </c>
      <c r="L60" s="1">
        <v>21.4</v>
      </c>
    </row>
    <row r="61" spans="1:12" x14ac:dyDescent="0.25">
      <c r="A61" s="1">
        <v>5400</v>
      </c>
      <c r="B61" s="1">
        <v>5500</v>
      </c>
      <c r="C61" s="1">
        <v>95.35</v>
      </c>
      <c r="D61" s="1">
        <v>27.25</v>
      </c>
      <c r="E61" s="1">
        <v>122.6</v>
      </c>
      <c r="F61" s="1">
        <v>68.099999999999994</v>
      </c>
      <c r="H61" s="1">
        <v>5400</v>
      </c>
      <c r="I61" s="1">
        <v>5500</v>
      </c>
      <c r="J61" s="1">
        <v>10.9</v>
      </c>
      <c r="K61" s="1">
        <v>10.9</v>
      </c>
      <c r="L61" s="1">
        <v>21.8</v>
      </c>
    </row>
    <row r="62" spans="1:12" x14ac:dyDescent="0.25">
      <c r="A62" s="1">
        <v>5500</v>
      </c>
      <c r="B62" s="1">
        <v>5600</v>
      </c>
      <c r="C62" s="1">
        <v>97.15</v>
      </c>
      <c r="D62" s="1">
        <v>27.75</v>
      </c>
      <c r="E62" s="1">
        <v>124.9</v>
      </c>
      <c r="F62" s="1">
        <v>69.400000000000006</v>
      </c>
      <c r="H62" s="1">
        <v>5500</v>
      </c>
      <c r="I62" s="1">
        <v>5600</v>
      </c>
      <c r="J62" s="1">
        <v>11.1</v>
      </c>
      <c r="K62" s="1">
        <v>11.1</v>
      </c>
      <c r="L62" s="1">
        <v>22.2</v>
      </c>
    </row>
    <row r="63" spans="1:12" x14ac:dyDescent="0.25">
      <c r="A63" s="1">
        <v>5600</v>
      </c>
      <c r="B63" s="1">
        <v>5700</v>
      </c>
      <c r="C63" s="1">
        <v>98.85</v>
      </c>
      <c r="D63" s="1">
        <v>28.25</v>
      </c>
      <c r="E63" s="1">
        <v>127.1</v>
      </c>
      <c r="F63" s="1">
        <v>70.599999999999994</v>
      </c>
      <c r="H63" s="1">
        <v>5600</v>
      </c>
      <c r="I63" s="1">
        <v>5700</v>
      </c>
      <c r="J63" s="1">
        <v>11.3</v>
      </c>
      <c r="K63" s="1">
        <v>11.3</v>
      </c>
      <c r="L63" s="1">
        <v>22.6</v>
      </c>
    </row>
    <row r="64" spans="1:12" x14ac:dyDescent="0.25">
      <c r="A64" s="1">
        <v>5700</v>
      </c>
      <c r="B64" s="1">
        <v>5800</v>
      </c>
      <c r="C64" s="1">
        <v>100.65</v>
      </c>
      <c r="D64" s="1">
        <v>28.75</v>
      </c>
      <c r="E64" s="1">
        <v>129.4</v>
      </c>
      <c r="F64" s="1">
        <v>71.900000000000006</v>
      </c>
      <c r="H64" s="1">
        <v>5700</v>
      </c>
      <c r="I64" s="1">
        <v>5800</v>
      </c>
      <c r="J64" s="1">
        <v>11.5</v>
      </c>
      <c r="K64" s="1">
        <v>11.5</v>
      </c>
      <c r="L64" s="1">
        <v>23</v>
      </c>
    </row>
    <row r="65" spans="1:12" x14ac:dyDescent="0.25">
      <c r="A65" s="1">
        <v>5800</v>
      </c>
      <c r="B65" s="1">
        <v>5900</v>
      </c>
      <c r="C65" s="1">
        <v>102.35</v>
      </c>
      <c r="D65" s="1">
        <v>29.25</v>
      </c>
      <c r="E65" s="1">
        <v>131.6</v>
      </c>
      <c r="F65" s="1">
        <v>73.099999999999994</v>
      </c>
      <c r="H65" s="1">
        <v>5800</v>
      </c>
      <c r="I65" s="1">
        <v>5900</v>
      </c>
      <c r="J65" s="1">
        <v>11.7</v>
      </c>
      <c r="K65" s="1">
        <v>11.7</v>
      </c>
      <c r="L65" s="1">
        <v>23.4</v>
      </c>
    </row>
    <row r="66" spans="1:12" x14ac:dyDescent="0.25">
      <c r="A66" s="1">
        <v>5900</v>
      </c>
      <c r="B66" s="1">
        <v>6000</v>
      </c>
      <c r="C66" s="1">
        <v>104.15</v>
      </c>
      <c r="D66" s="1">
        <v>29.75</v>
      </c>
      <c r="E66" s="1">
        <v>133.9</v>
      </c>
      <c r="F66" s="1">
        <v>74.400000000000006</v>
      </c>
      <c r="H66" s="1">
        <v>5900</v>
      </c>
      <c r="I66" s="1">
        <v>6000</v>
      </c>
      <c r="J66" s="1">
        <v>11.9</v>
      </c>
      <c r="K66" s="1">
        <v>11.9</v>
      </c>
      <c r="L66" s="1">
        <v>23.8</v>
      </c>
    </row>
    <row r="67" spans="1:12" x14ac:dyDescent="0.25">
      <c r="A67" s="1">
        <v>6000</v>
      </c>
      <c r="B67" s="1">
        <v>6000</v>
      </c>
      <c r="C67" s="1">
        <v>104.15</v>
      </c>
      <c r="D67" s="1">
        <v>29.75</v>
      </c>
      <c r="E67" s="1">
        <v>133.9</v>
      </c>
      <c r="F67" s="1">
        <v>74.400000000000006</v>
      </c>
      <c r="H67" s="1">
        <v>6000</v>
      </c>
      <c r="I67" s="1">
        <v>6000</v>
      </c>
      <c r="J67" s="1">
        <v>11.9</v>
      </c>
      <c r="K67" s="1">
        <v>11.9</v>
      </c>
      <c r="L67" s="1">
        <v>23.8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A4C6D-50D6-46DB-A248-4E200FB1B41F}">
  <sheetPr codeName="Sheet5"/>
  <dimension ref="A1:K403"/>
  <sheetViews>
    <sheetView zoomScale="75" zoomScaleNormal="75" workbookViewId="0">
      <selection activeCell="K403" sqref="K403"/>
    </sheetView>
  </sheetViews>
  <sheetFormatPr defaultRowHeight="15" x14ac:dyDescent="0.25"/>
  <cols>
    <col min="1" max="1" width="10.42578125" style="1" bestFit="1" customWidth="1"/>
    <col min="2" max="2" width="8.28515625" style="1" bestFit="1" customWidth="1"/>
    <col min="3" max="3" width="12.85546875" style="1" bestFit="1" customWidth="1"/>
    <col min="4" max="4" width="13.28515625" style="1" bestFit="1" customWidth="1"/>
    <col min="5" max="5" width="9.140625" style="1"/>
    <col min="6" max="6" width="9.140625" style="2"/>
    <col min="7" max="7" width="10.42578125" style="1" bestFit="1" customWidth="1"/>
    <col min="8" max="8" width="8.28515625" style="1" bestFit="1" customWidth="1"/>
    <col min="9" max="9" width="12.85546875" style="1" bestFit="1" customWidth="1"/>
    <col min="10" max="10" width="13.28515625" style="1" bestFit="1" customWidth="1"/>
    <col min="11" max="16384" width="9.140625" style="1"/>
  </cols>
  <sheetData>
    <row r="1" spans="1:11" s="3" customFormat="1" x14ac:dyDescent="0.25">
      <c r="A1" s="3" t="s">
        <v>81</v>
      </c>
      <c r="F1" s="4"/>
      <c r="G1" s="3" t="s">
        <v>82</v>
      </c>
    </row>
    <row r="2" spans="1:11" x14ac:dyDescent="0.25">
      <c r="A2" s="1" t="s">
        <v>68</v>
      </c>
      <c r="B2" s="1" t="s">
        <v>69</v>
      </c>
      <c r="C2" s="1" t="s">
        <v>78</v>
      </c>
      <c r="D2" s="1" t="s">
        <v>79</v>
      </c>
      <c r="E2" s="1" t="s">
        <v>80</v>
      </c>
      <c r="G2" s="1" t="s">
        <v>68</v>
      </c>
      <c r="H2" s="1" t="s">
        <v>69</v>
      </c>
      <c r="I2" s="1" t="s">
        <v>78</v>
      </c>
      <c r="J2" s="1" t="s">
        <v>79</v>
      </c>
      <c r="K2" s="1" t="s">
        <v>80</v>
      </c>
    </row>
    <row r="3" spans="1:11" x14ac:dyDescent="0.25">
      <c r="A3" s="1">
        <v>0.01</v>
      </c>
      <c r="B3" s="1">
        <v>10</v>
      </c>
      <c r="C3" s="1">
        <v>0</v>
      </c>
      <c r="D3" s="1">
        <v>0</v>
      </c>
      <c r="E3" s="1">
        <v>0</v>
      </c>
      <c r="G3" s="1">
        <v>0.01</v>
      </c>
      <c r="H3" s="1">
        <v>10</v>
      </c>
      <c r="I3" s="1">
        <v>0</v>
      </c>
      <c r="J3" s="1">
        <v>0</v>
      </c>
      <c r="K3" s="1">
        <v>0</v>
      </c>
    </row>
    <row r="4" spans="1:11" x14ac:dyDescent="0.25">
      <c r="A4" s="1">
        <v>10.01</v>
      </c>
      <c r="B4" s="1">
        <v>20</v>
      </c>
      <c r="C4" s="1">
        <v>3</v>
      </c>
      <c r="D4" s="1">
        <v>3</v>
      </c>
      <c r="E4" s="1">
        <v>6</v>
      </c>
      <c r="G4" s="1">
        <v>10.01</v>
      </c>
      <c r="H4" s="1">
        <v>20</v>
      </c>
      <c r="I4" s="1">
        <v>1</v>
      </c>
      <c r="J4" s="1">
        <v>0</v>
      </c>
      <c r="K4" s="1">
        <v>1</v>
      </c>
    </row>
    <row r="5" spans="1:11" x14ac:dyDescent="0.25">
      <c r="A5" s="1">
        <v>20.010000000000002</v>
      </c>
      <c r="B5" s="1">
        <v>40</v>
      </c>
      <c r="C5" s="1">
        <v>6</v>
      </c>
      <c r="D5" s="1">
        <v>5</v>
      </c>
      <c r="E5" s="1">
        <v>11</v>
      </c>
      <c r="G5" s="1">
        <v>20.010000000000002</v>
      </c>
      <c r="H5" s="1">
        <v>40</v>
      </c>
      <c r="I5" s="1">
        <v>2</v>
      </c>
      <c r="J5" s="1">
        <v>0</v>
      </c>
      <c r="K5" s="1">
        <v>2</v>
      </c>
    </row>
    <row r="6" spans="1:11" x14ac:dyDescent="0.25">
      <c r="A6" s="1">
        <v>40.01</v>
      </c>
      <c r="B6" s="1">
        <v>60</v>
      </c>
      <c r="C6" s="1">
        <v>8</v>
      </c>
      <c r="D6" s="1">
        <v>7</v>
      </c>
      <c r="E6" s="1">
        <v>15</v>
      </c>
      <c r="G6" s="1">
        <v>40.01</v>
      </c>
      <c r="H6" s="1">
        <v>60</v>
      </c>
      <c r="I6" s="1">
        <v>3</v>
      </c>
      <c r="J6" s="1">
        <v>0</v>
      </c>
      <c r="K6" s="1">
        <v>3</v>
      </c>
    </row>
    <row r="7" spans="1:11" x14ac:dyDescent="0.25">
      <c r="A7" s="1">
        <v>60.01</v>
      </c>
      <c r="B7" s="1">
        <v>80</v>
      </c>
      <c r="C7" s="1">
        <v>11</v>
      </c>
      <c r="D7" s="1">
        <v>9</v>
      </c>
      <c r="E7" s="1">
        <v>20</v>
      </c>
      <c r="G7" s="1">
        <v>60.01</v>
      </c>
      <c r="H7" s="1">
        <v>80</v>
      </c>
      <c r="I7" s="1">
        <v>4</v>
      </c>
      <c r="J7" s="1">
        <v>0</v>
      </c>
      <c r="K7" s="1">
        <v>4</v>
      </c>
    </row>
    <row r="8" spans="1:11" x14ac:dyDescent="0.25">
      <c r="A8" s="1">
        <v>80.010000000000005</v>
      </c>
      <c r="B8" s="1">
        <v>100</v>
      </c>
      <c r="C8" s="1">
        <v>13</v>
      </c>
      <c r="D8" s="1">
        <v>11</v>
      </c>
      <c r="E8" s="1">
        <v>24</v>
      </c>
      <c r="G8" s="1">
        <v>80.010000000000005</v>
      </c>
      <c r="H8" s="1">
        <v>100</v>
      </c>
      <c r="I8" s="1">
        <v>4</v>
      </c>
      <c r="J8" s="1">
        <v>0</v>
      </c>
      <c r="K8" s="1">
        <v>4</v>
      </c>
    </row>
    <row r="9" spans="1:11" x14ac:dyDescent="0.25">
      <c r="A9" s="1">
        <v>100.01</v>
      </c>
      <c r="B9" s="1">
        <v>120</v>
      </c>
      <c r="C9" s="1">
        <v>16</v>
      </c>
      <c r="D9" s="1">
        <v>14</v>
      </c>
      <c r="E9" s="1">
        <v>30</v>
      </c>
      <c r="G9" s="1">
        <v>100.01</v>
      </c>
      <c r="H9" s="1">
        <v>120</v>
      </c>
      <c r="I9" s="1">
        <v>5</v>
      </c>
      <c r="J9" s="1">
        <v>0</v>
      </c>
      <c r="K9" s="1">
        <v>5</v>
      </c>
    </row>
    <row r="10" spans="1:11" x14ac:dyDescent="0.25">
      <c r="A10" s="1">
        <v>120.01</v>
      </c>
      <c r="B10" s="1">
        <v>140</v>
      </c>
      <c r="C10" s="1">
        <v>19</v>
      </c>
      <c r="D10" s="1">
        <v>16</v>
      </c>
      <c r="E10" s="1">
        <v>35</v>
      </c>
      <c r="G10" s="1">
        <v>120.01</v>
      </c>
      <c r="H10" s="1">
        <v>140</v>
      </c>
      <c r="I10" s="1">
        <v>6</v>
      </c>
      <c r="J10" s="1">
        <v>0</v>
      </c>
      <c r="K10" s="1">
        <v>6</v>
      </c>
    </row>
    <row r="11" spans="1:11" x14ac:dyDescent="0.25">
      <c r="A11" s="1">
        <v>140.01</v>
      </c>
      <c r="B11" s="1">
        <v>160</v>
      </c>
      <c r="C11" s="1">
        <v>21</v>
      </c>
      <c r="D11" s="1">
        <v>18</v>
      </c>
      <c r="E11" s="1">
        <v>39</v>
      </c>
      <c r="G11" s="1">
        <v>140.01</v>
      </c>
      <c r="H11" s="1">
        <v>160</v>
      </c>
      <c r="I11" s="1">
        <v>7</v>
      </c>
      <c r="J11" s="1">
        <v>0</v>
      </c>
      <c r="K11" s="1">
        <v>7</v>
      </c>
    </row>
    <row r="12" spans="1:11" x14ac:dyDescent="0.25">
      <c r="A12" s="1">
        <v>160.01</v>
      </c>
      <c r="B12" s="1">
        <v>180</v>
      </c>
      <c r="C12" s="1">
        <v>24</v>
      </c>
      <c r="D12" s="1">
        <v>20</v>
      </c>
      <c r="E12" s="1">
        <v>44</v>
      </c>
      <c r="G12" s="1">
        <v>160.01</v>
      </c>
      <c r="H12" s="1">
        <v>180</v>
      </c>
      <c r="I12" s="1">
        <v>8</v>
      </c>
      <c r="J12" s="1">
        <v>0</v>
      </c>
      <c r="K12" s="1">
        <v>8</v>
      </c>
    </row>
    <row r="13" spans="1:11" x14ac:dyDescent="0.25">
      <c r="A13" s="1">
        <v>180.01</v>
      </c>
      <c r="B13" s="1">
        <v>200</v>
      </c>
      <c r="C13" s="1">
        <v>26</v>
      </c>
      <c r="D13" s="1">
        <v>22</v>
      </c>
      <c r="E13" s="1">
        <v>48</v>
      </c>
      <c r="G13" s="1">
        <v>180.01</v>
      </c>
      <c r="H13" s="1">
        <v>200</v>
      </c>
      <c r="I13" s="1">
        <v>8</v>
      </c>
      <c r="J13" s="1">
        <v>0</v>
      </c>
      <c r="K13" s="1">
        <v>8</v>
      </c>
    </row>
    <row r="14" spans="1:11" x14ac:dyDescent="0.25">
      <c r="A14" s="1">
        <v>200.01</v>
      </c>
      <c r="B14" s="1">
        <v>220</v>
      </c>
      <c r="C14" s="1">
        <v>29</v>
      </c>
      <c r="D14" s="1">
        <v>25</v>
      </c>
      <c r="E14" s="1">
        <v>54</v>
      </c>
      <c r="G14" s="1">
        <v>200.01</v>
      </c>
      <c r="H14" s="1">
        <v>220</v>
      </c>
      <c r="I14" s="1">
        <v>9</v>
      </c>
      <c r="J14" s="1">
        <v>0</v>
      </c>
      <c r="K14" s="1">
        <v>9</v>
      </c>
    </row>
    <row r="15" spans="1:11" x14ac:dyDescent="0.25">
      <c r="A15" s="1">
        <v>220.01</v>
      </c>
      <c r="B15" s="1">
        <v>240</v>
      </c>
      <c r="C15" s="1">
        <v>32</v>
      </c>
      <c r="D15" s="1">
        <v>27</v>
      </c>
      <c r="E15" s="1">
        <v>59</v>
      </c>
      <c r="G15" s="1">
        <v>220.01</v>
      </c>
      <c r="H15" s="1">
        <v>240</v>
      </c>
      <c r="I15" s="1">
        <v>10</v>
      </c>
      <c r="J15" s="1">
        <v>0</v>
      </c>
      <c r="K15" s="1">
        <v>10</v>
      </c>
    </row>
    <row r="16" spans="1:11" x14ac:dyDescent="0.25">
      <c r="A16" s="1">
        <v>240.01</v>
      </c>
      <c r="B16" s="1">
        <v>260</v>
      </c>
      <c r="C16" s="1">
        <v>34</v>
      </c>
      <c r="D16" s="1">
        <v>29</v>
      </c>
      <c r="E16" s="1">
        <v>63</v>
      </c>
      <c r="G16" s="1">
        <v>240.01</v>
      </c>
      <c r="H16" s="1">
        <v>260</v>
      </c>
      <c r="I16" s="1">
        <v>11</v>
      </c>
      <c r="J16" s="1">
        <v>0</v>
      </c>
      <c r="K16" s="1">
        <v>11</v>
      </c>
    </row>
    <row r="17" spans="1:11" x14ac:dyDescent="0.25">
      <c r="A17" s="1">
        <v>260.01</v>
      </c>
      <c r="B17" s="1">
        <v>280</v>
      </c>
      <c r="C17" s="1">
        <v>37</v>
      </c>
      <c r="D17" s="1">
        <v>31</v>
      </c>
      <c r="E17" s="1">
        <v>68</v>
      </c>
      <c r="G17" s="1">
        <v>260.01</v>
      </c>
      <c r="H17" s="1">
        <v>280</v>
      </c>
      <c r="I17" s="1">
        <v>12</v>
      </c>
      <c r="J17" s="1">
        <v>0</v>
      </c>
      <c r="K17" s="1">
        <v>12</v>
      </c>
    </row>
    <row r="18" spans="1:11" x14ac:dyDescent="0.25">
      <c r="A18" s="1">
        <v>280.01</v>
      </c>
      <c r="B18" s="1">
        <v>300</v>
      </c>
      <c r="C18" s="1">
        <v>39</v>
      </c>
      <c r="D18" s="1">
        <v>33</v>
      </c>
      <c r="E18" s="1">
        <v>72</v>
      </c>
      <c r="G18" s="1">
        <v>280.01</v>
      </c>
      <c r="H18" s="1">
        <v>300</v>
      </c>
      <c r="I18" s="1">
        <v>12</v>
      </c>
      <c r="J18" s="1">
        <v>0</v>
      </c>
      <c r="K18" s="1">
        <v>12</v>
      </c>
    </row>
    <row r="19" spans="1:11" x14ac:dyDescent="0.25">
      <c r="A19" s="1">
        <v>300.01</v>
      </c>
      <c r="B19" s="1">
        <v>320</v>
      </c>
      <c r="C19" s="1">
        <v>42</v>
      </c>
      <c r="D19" s="1">
        <v>36</v>
      </c>
      <c r="E19" s="1">
        <v>78</v>
      </c>
      <c r="G19" s="1">
        <v>300.01</v>
      </c>
      <c r="H19" s="1">
        <v>320</v>
      </c>
      <c r="I19" s="1">
        <v>13</v>
      </c>
      <c r="J19" s="1">
        <v>0</v>
      </c>
      <c r="K19" s="1">
        <v>13</v>
      </c>
    </row>
    <row r="20" spans="1:11" x14ac:dyDescent="0.25">
      <c r="A20" s="1">
        <v>320.01</v>
      </c>
      <c r="B20" s="1">
        <v>340</v>
      </c>
      <c r="C20" s="1">
        <v>45</v>
      </c>
      <c r="D20" s="1">
        <v>38</v>
      </c>
      <c r="E20" s="1">
        <v>83</v>
      </c>
      <c r="G20" s="1">
        <v>320.01</v>
      </c>
      <c r="H20" s="1">
        <v>340</v>
      </c>
      <c r="I20" s="1">
        <v>14</v>
      </c>
      <c r="J20" s="1">
        <v>0</v>
      </c>
      <c r="K20" s="1">
        <v>14</v>
      </c>
    </row>
    <row r="21" spans="1:11" x14ac:dyDescent="0.25">
      <c r="A21" s="1">
        <v>340.01</v>
      </c>
      <c r="B21" s="1">
        <v>360</v>
      </c>
      <c r="C21" s="1">
        <v>47</v>
      </c>
      <c r="D21" s="1">
        <v>40</v>
      </c>
      <c r="E21" s="1">
        <v>87</v>
      </c>
      <c r="G21" s="1">
        <v>340.01</v>
      </c>
      <c r="H21" s="1">
        <v>360</v>
      </c>
      <c r="I21" s="1">
        <v>15</v>
      </c>
      <c r="J21" s="1">
        <v>0</v>
      </c>
      <c r="K21" s="1">
        <v>15</v>
      </c>
    </row>
    <row r="22" spans="1:11" x14ac:dyDescent="0.25">
      <c r="A22" s="1">
        <v>360.01</v>
      </c>
      <c r="B22" s="1">
        <v>380</v>
      </c>
      <c r="C22" s="1">
        <v>50</v>
      </c>
      <c r="D22" s="1">
        <v>42</v>
      </c>
      <c r="E22" s="1">
        <v>92</v>
      </c>
      <c r="G22" s="1">
        <v>360.01</v>
      </c>
      <c r="H22" s="1">
        <v>380</v>
      </c>
      <c r="I22" s="1">
        <v>16</v>
      </c>
      <c r="J22" s="1">
        <v>0</v>
      </c>
      <c r="K22" s="1">
        <v>16</v>
      </c>
    </row>
    <row r="23" spans="1:11" x14ac:dyDescent="0.25">
      <c r="A23" s="1">
        <v>380.01</v>
      </c>
      <c r="B23" s="1">
        <v>400</v>
      </c>
      <c r="C23" s="1">
        <v>52</v>
      </c>
      <c r="D23" s="1">
        <v>44</v>
      </c>
      <c r="E23" s="1">
        <v>96</v>
      </c>
      <c r="G23" s="1">
        <v>380.01</v>
      </c>
      <c r="H23" s="1">
        <v>400</v>
      </c>
      <c r="I23" s="1">
        <v>16</v>
      </c>
      <c r="J23" s="1">
        <v>0</v>
      </c>
      <c r="K23" s="1">
        <v>16</v>
      </c>
    </row>
    <row r="24" spans="1:11" x14ac:dyDescent="0.25">
      <c r="A24" s="1">
        <v>400.01</v>
      </c>
      <c r="B24" s="1">
        <v>420</v>
      </c>
      <c r="C24" s="1">
        <v>55</v>
      </c>
      <c r="D24" s="1">
        <v>47</v>
      </c>
      <c r="E24" s="1">
        <v>102</v>
      </c>
      <c r="G24" s="1">
        <v>400.01</v>
      </c>
      <c r="H24" s="1">
        <v>420</v>
      </c>
      <c r="I24" s="1">
        <v>17</v>
      </c>
      <c r="J24" s="1">
        <v>0</v>
      </c>
      <c r="K24" s="1">
        <v>17</v>
      </c>
    </row>
    <row r="25" spans="1:11" x14ac:dyDescent="0.25">
      <c r="A25" s="1">
        <v>420.01</v>
      </c>
      <c r="B25" s="1">
        <v>440</v>
      </c>
      <c r="C25" s="1">
        <v>58</v>
      </c>
      <c r="D25" s="1">
        <v>49</v>
      </c>
      <c r="E25" s="1">
        <v>107</v>
      </c>
      <c r="G25" s="1">
        <v>420.01</v>
      </c>
      <c r="H25" s="1">
        <v>440</v>
      </c>
      <c r="I25" s="1">
        <v>18</v>
      </c>
      <c r="J25" s="1">
        <v>0</v>
      </c>
      <c r="K25" s="1">
        <v>18</v>
      </c>
    </row>
    <row r="26" spans="1:11" x14ac:dyDescent="0.25">
      <c r="A26" s="1">
        <v>440.01</v>
      </c>
      <c r="B26" s="1">
        <v>460</v>
      </c>
      <c r="C26" s="1">
        <v>60</v>
      </c>
      <c r="D26" s="1">
        <v>51</v>
      </c>
      <c r="E26" s="1">
        <v>111</v>
      </c>
      <c r="G26" s="1">
        <v>440.01</v>
      </c>
      <c r="H26" s="1">
        <v>460</v>
      </c>
      <c r="I26" s="1">
        <v>19</v>
      </c>
      <c r="J26" s="1">
        <v>0</v>
      </c>
      <c r="K26" s="1">
        <v>19</v>
      </c>
    </row>
    <row r="27" spans="1:11" x14ac:dyDescent="0.25">
      <c r="A27" s="1">
        <v>460.01</v>
      </c>
      <c r="B27" s="1">
        <v>480</v>
      </c>
      <c r="C27" s="1">
        <v>63</v>
      </c>
      <c r="D27" s="1">
        <v>53</v>
      </c>
      <c r="E27" s="1">
        <v>116</v>
      </c>
      <c r="G27" s="1">
        <v>460.01</v>
      </c>
      <c r="H27" s="1">
        <v>480</v>
      </c>
      <c r="I27" s="1">
        <v>20</v>
      </c>
      <c r="J27" s="1">
        <v>0</v>
      </c>
      <c r="K27" s="1">
        <v>20</v>
      </c>
    </row>
    <row r="28" spans="1:11" x14ac:dyDescent="0.25">
      <c r="A28" s="1">
        <v>480.01</v>
      </c>
      <c r="B28" s="1">
        <v>500</v>
      </c>
      <c r="C28" s="1">
        <v>65</v>
      </c>
      <c r="D28" s="1">
        <v>55</v>
      </c>
      <c r="E28" s="1">
        <v>120</v>
      </c>
      <c r="G28" s="1">
        <v>480.01</v>
      </c>
      <c r="H28" s="1">
        <v>500</v>
      </c>
      <c r="I28" s="1">
        <v>20</v>
      </c>
      <c r="J28" s="1">
        <v>0</v>
      </c>
      <c r="K28" s="1">
        <v>20</v>
      </c>
    </row>
    <row r="29" spans="1:11" x14ac:dyDescent="0.25">
      <c r="A29" s="1">
        <v>500.01</v>
      </c>
      <c r="B29" s="1">
        <v>520</v>
      </c>
      <c r="C29" s="1">
        <v>68</v>
      </c>
      <c r="D29" s="1">
        <v>58</v>
      </c>
      <c r="E29" s="1">
        <v>126</v>
      </c>
      <c r="G29" s="1">
        <v>500.01</v>
      </c>
      <c r="H29" s="1">
        <v>520</v>
      </c>
      <c r="I29" s="1">
        <v>21</v>
      </c>
      <c r="J29" s="1">
        <v>0</v>
      </c>
      <c r="K29" s="1">
        <v>21</v>
      </c>
    </row>
    <row r="30" spans="1:11" x14ac:dyDescent="0.25">
      <c r="A30" s="1">
        <v>520.01</v>
      </c>
      <c r="B30" s="1">
        <v>540</v>
      </c>
      <c r="C30" s="1">
        <v>71</v>
      </c>
      <c r="D30" s="1">
        <v>60</v>
      </c>
      <c r="E30" s="1">
        <v>131</v>
      </c>
      <c r="G30" s="1">
        <v>520.01</v>
      </c>
      <c r="H30" s="1">
        <v>540</v>
      </c>
      <c r="I30" s="1">
        <v>22</v>
      </c>
      <c r="J30" s="1">
        <v>0</v>
      </c>
      <c r="K30" s="1">
        <v>22</v>
      </c>
    </row>
    <row r="31" spans="1:11" x14ac:dyDescent="0.25">
      <c r="A31" s="1">
        <v>540.01</v>
      </c>
      <c r="B31" s="1">
        <v>560</v>
      </c>
      <c r="C31" s="1">
        <v>73</v>
      </c>
      <c r="D31" s="1">
        <v>62</v>
      </c>
      <c r="E31" s="1">
        <v>135</v>
      </c>
      <c r="G31" s="1">
        <v>540.01</v>
      </c>
      <c r="H31" s="1">
        <v>560</v>
      </c>
      <c r="I31" s="1">
        <v>23</v>
      </c>
      <c r="J31" s="1">
        <v>0</v>
      </c>
      <c r="K31" s="1">
        <v>23</v>
      </c>
    </row>
    <row r="32" spans="1:11" x14ac:dyDescent="0.25">
      <c r="A32" s="1">
        <v>560.01</v>
      </c>
      <c r="B32" s="1">
        <v>580</v>
      </c>
      <c r="C32" s="1">
        <v>76</v>
      </c>
      <c r="D32" s="1">
        <v>64</v>
      </c>
      <c r="E32" s="1">
        <v>140</v>
      </c>
      <c r="G32" s="1">
        <v>560.01</v>
      </c>
      <c r="H32" s="1">
        <v>580</v>
      </c>
      <c r="I32" s="1">
        <v>24</v>
      </c>
      <c r="J32" s="1">
        <v>0</v>
      </c>
      <c r="K32" s="1">
        <v>24</v>
      </c>
    </row>
    <row r="33" spans="1:11" x14ac:dyDescent="0.25">
      <c r="A33" s="1">
        <v>580.01</v>
      </c>
      <c r="B33" s="1">
        <v>600</v>
      </c>
      <c r="C33" s="1">
        <v>78</v>
      </c>
      <c r="D33" s="1">
        <v>66</v>
      </c>
      <c r="E33" s="1">
        <v>144</v>
      </c>
      <c r="G33" s="1">
        <v>580.01</v>
      </c>
      <c r="H33" s="1">
        <v>600</v>
      </c>
      <c r="I33" s="1">
        <v>24</v>
      </c>
      <c r="J33" s="1">
        <v>0</v>
      </c>
      <c r="K33" s="1">
        <v>24</v>
      </c>
    </row>
    <row r="34" spans="1:11" x14ac:dyDescent="0.25">
      <c r="A34" s="1">
        <v>600.01</v>
      </c>
      <c r="B34" s="1">
        <v>620</v>
      </c>
      <c r="C34" s="1">
        <v>81</v>
      </c>
      <c r="D34" s="1">
        <v>69</v>
      </c>
      <c r="E34" s="1">
        <v>150</v>
      </c>
      <c r="G34" s="1">
        <v>600.01</v>
      </c>
      <c r="H34" s="1">
        <v>620</v>
      </c>
      <c r="I34" s="1">
        <v>25</v>
      </c>
      <c r="J34" s="1">
        <v>0</v>
      </c>
      <c r="K34" s="1">
        <v>25</v>
      </c>
    </row>
    <row r="35" spans="1:11" x14ac:dyDescent="0.25">
      <c r="A35" s="1">
        <v>620.01</v>
      </c>
      <c r="B35" s="1">
        <v>640</v>
      </c>
      <c r="C35" s="1">
        <v>84</v>
      </c>
      <c r="D35" s="1">
        <v>71</v>
      </c>
      <c r="E35" s="1">
        <v>155</v>
      </c>
      <c r="G35" s="1">
        <v>620.01</v>
      </c>
      <c r="H35" s="1">
        <v>640</v>
      </c>
      <c r="I35" s="1">
        <v>26</v>
      </c>
      <c r="J35" s="1">
        <v>0</v>
      </c>
      <c r="K35" s="1">
        <v>26</v>
      </c>
    </row>
    <row r="36" spans="1:11" x14ac:dyDescent="0.25">
      <c r="A36" s="1">
        <v>640.01</v>
      </c>
      <c r="B36" s="1">
        <v>660</v>
      </c>
      <c r="C36" s="1">
        <v>86</v>
      </c>
      <c r="D36" s="1">
        <v>73</v>
      </c>
      <c r="E36" s="1">
        <v>159</v>
      </c>
      <c r="G36" s="1">
        <v>640.01</v>
      </c>
      <c r="H36" s="1">
        <v>660</v>
      </c>
      <c r="I36" s="1">
        <v>27</v>
      </c>
      <c r="J36" s="1">
        <v>0</v>
      </c>
      <c r="K36" s="1">
        <v>27</v>
      </c>
    </row>
    <row r="37" spans="1:11" x14ac:dyDescent="0.25">
      <c r="A37" s="1">
        <v>660.01</v>
      </c>
      <c r="B37" s="1">
        <v>680</v>
      </c>
      <c r="C37" s="1">
        <v>89</v>
      </c>
      <c r="D37" s="1">
        <v>75</v>
      </c>
      <c r="E37" s="1">
        <v>164</v>
      </c>
      <c r="G37" s="1">
        <v>660.01</v>
      </c>
      <c r="H37" s="1">
        <v>680</v>
      </c>
      <c r="I37" s="1">
        <v>28</v>
      </c>
      <c r="J37" s="1">
        <v>0</v>
      </c>
      <c r="K37" s="1">
        <v>28</v>
      </c>
    </row>
    <row r="38" spans="1:11" x14ac:dyDescent="0.25">
      <c r="A38" s="1">
        <v>680.01</v>
      </c>
      <c r="B38" s="1">
        <v>700</v>
      </c>
      <c r="C38" s="1">
        <v>91</v>
      </c>
      <c r="D38" s="1">
        <v>77</v>
      </c>
      <c r="E38" s="1">
        <v>168</v>
      </c>
      <c r="G38" s="1">
        <v>680.01</v>
      </c>
      <c r="H38" s="1">
        <v>700</v>
      </c>
      <c r="I38" s="1">
        <v>28</v>
      </c>
      <c r="J38" s="1">
        <v>0</v>
      </c>
      <c r="K38" s="1">
        <v>28</v>
      </c>
    </row>
    <row r="39" spans="1:11" x14ac:dyDescent="0.25">
      <c r="A39" s="1">
        <v>700.01</v>
      </c>
      <c r="B39" s="1">
        <v>720</v>
      </c>
      <c r="C39" s="1">
        <v>94</v>
      </c>
      <c r="D39" s="1">
        <v>80</v>
      </c>
      <c r="E39" s="1">
        <v>174</v>
      </c>
      <c r="G39" s="1">
        <v>700.01</v>
      </c>
      <c r="H39" s="1">
        <v>720</v>
      </c>
      <c r="I39" s="1">
        <v>29</v>
      </c>
      <c r="J39" s="1">
        <v>0</v>
      </c>
      <c r="K39" s="1">
        <v>29</v>
      </c>
    </row>
    <row r="40" spans="1:11" x14ac:dyDescent="0.25">
      <c r="A40" s="1">
        <v>720.01</v>
      </c>
      <c r="B40" s="1">
        <v>740</v>
      </c>
      <c r="C40" s="1">
        <v>97</v>
      </c>
      <c r="D40" s="1">
        <v>82</v>
      </c>
      <c r="E40" s="1">
        <v>179</v>
      </c>
      <c r="G40" s="1">
        <v>720.01</v>
      </c>
      <c r="H40" s="1">
        <v>740</v>
      </c>
      <c r="I40" s="1">
        <v>30</v>
      </c>
      <c r="J40" s="1">
        <v>0</v>
      </c>
      <c r="K40" s="1">
        <v>30</v>
      </c>
    </row>
    <row r="41" spans="1:11" x14ac:dyDescent="0.25">
      <c r="A41" s="1">
        <v>740.01</v>
      </c>
      <c r="B41" s="1">
        <v>760</v>
      </c>
      <c r="C41" s="1">
        <v>99</v>
      </c>
      <c r="D41" s="1">
        <v>84</v>
      </c>
      <c r="E41" s="1">
        <v>183</v>
      </c>
      <c r="G41" s="1">
        <v>740.01</v>
      </c>
      <c r="H41" s="1">
        <v>760</v>
      </c>
      <c r="I41" s="1">
        <v>31</v>
      </c>
      <c r="J41" s="1">
        <v>0</v>
      </c>
      <c r="K41" s="1">
        <v>31</v>
      </c>
    </row>
    <row r="42" spans="1:11" x14ac:dyDescent="0.25">
      <c r="A42" s="1">
        <v>760.01</v>
      </c>
      <c r="B42" s="1">
        <v>780</v>
      </c>
      <c r="C42" s="1">
        <v>102</v>
      </c>
      <c r="D42" s="1">
        <v>86</v>
      </c>
      <c r="E42" s="1">
        <v>188</v>
      </c>
      <c r="G42" s="1">
        <v>760.01</v>
      </c>
      <c r="H42" s="1">
        <v>780</v>
      </c>
      <c r="I42" s="1">
        <v>32</v>
      </c>
      <c r="J42" s="1">
        <v>0</v>
      </c>
      <c r="K42" s="1">
        <v>32</v>
      </c>
    </row>
    <row r="43" spans="1:11" x14ac:dyDescent="0.25">
      <c r="A43" s="1">
        <v>780.01</v>
      </c>
      <c r="B43" s="1">
        <v>800</v>
      </c>
      <c r="C43" s="1">
        <v>104</v>
      </c>
      <c r="D43" s="1">
        <v>88</v>
      </c>
      <c r="E43" s="1">
        <v>192</v>
      </c>
      <c r="G43" s="1">
        <v>780.01</v>
      </c>
      <c r="H43" s="1">
        <v>800</v>
      </c>
      <c r="I43" s="1">
        <v>32</v>
      </c>
      <c r="J43" s="1">
        <v>0</v>
      </c>
      <c r="K43" s="1">
        <v>32</v>
      </c>
    </row>
    <row r="44" spans="1:11" x14ac:dyDescent="0.25">
      <c r="A44" s="1">
        <v>800.01</v>
      </c>
      <c r="B44" s="1">
        <v>820</v>
      </c>
      <c r="C44" s="1">
        <v>107</v>
      </c>
      <c r="D44" s="1">
        <v>91</v>
      </c>
      <c r="E44" s="1">
        <v>198</v>
      </c>
      <c r="G44" s="1">
        <v>800.01</v>
      </c>
      <c r="H44" s="1">
        <v>820</v>
      </c>
      <c r="I44" s="1">
        <v>33</v>
      </c>
      <c r="J44" s="1">
        <v>0</v>
      </c>
      <c r="K44" s="1">
        <v>33</v>
      </c>
    </row>
    <row r="45" spans="1:11" x14ac:dyDescent="0.25">
      <c r="A45" s="1">
        <v>820.01</v>
      </c>
      <c r="B45" s="1">
        <v>840</v>
      </c>
      <c r="C45" s="1">
        <v>110</v>
      </c>
      <c r="D45" s="1">
        <v>93</v>
      </c>
      <c r="E45" s="1">
        <v>203</v>
      </c>
      <c r="G45" s="1">
        <v>820.01</v>
      </c>
      <c r="H45" s="1">
        <v>840</v>
      </c>
      <c r="I45" s="1">
        <v>34</v>
      </c>
      <c r="J45" s="1">
        <v>0</v>
      </c>
      <c r="K45" s="1">
        <v>34</v>
      </c>
    </row>
    <row r="46" spans="1:11" x14ac:dyDescent="0.25">
      <c r="A46" s="1">
        <v>840.01</v>
      </c>
      <c r="B46" s="1">
        <v>860</v>
      </c>
      <c r="C46" s="1">
        <v>112</v>
      </c>
      <c r="D46" s="1">
        <v>95</v>
      </c>
      <c r="E46" s="1">
        <v>207</v>
      </c>
      <c r="G46" s="1">
        <v>840.01</v>
      </c>
      <c r="H46" s="1">
        <v>860</v>
      </c>
      <c r="I46" s="1">
        <v>35</v>
      </c>
      <c r="J46" s="1">
        <v>0</v>
      </c>
      <c r="K46" s="1">
        <v>35</v>
      </c>
    </row>
    <row r="47" spans="1:11" x14ac:dyDescent="0.25">
      <c r="A47" s="1">
        <v>860.01</v>
      </c>
      <c r="B47" s="1">
        <v>880</v>
      </c>
      <c r="C47" s="1">
        <v>115</v>
      </c>
      <c r="D47" s="1">
        <v>97</v>
      </c>
      <c r="E47" s="1">
        <v>212</v>
      </c>
      <c r="G47" s="1">
        <v>860.01</v>
      </c>
      <c r="H47" s="1">
        <v>880</v>
      </c>
      <c r="I47" s="1">
        <v>36</v>
      </c>
      <c r="J47" s="1">
        <v>0</v>
      </c>
      <c r="K47" s="1">
        <v>36</v>
      </c>
    </row>
    <row r="48" spans="1:11" x14ac:dyDescent="0.25">
      <c r="A48" s="1">
        <v>880.01</v>
      </c>
      <c r="B48" s="1">
        <v>900</v>
      </c>
      <c r="C48" s="1">
        <v>117</v>
      </c>
      <c r="D48" s="1">
        <v>99</v>
      </c>
      <c r="E48" s="1">
        <v>216</v>
      </c>
      <c r="G48" s="1">
        <v>880.01</v>
      </c>
      <c r="H48" s="1">
        <v>900</v>
      </c>
      <c r="I48" s="1">
        <v>36</v>
      </c>
      <c r="J48" s="1">
        <v>0</v>
      </c>
      <c r="K48" s="1">
        <v>36</v>
      </c>
    </row>
    <row r="49" spans="1:11" x14ac:dyDescent="0.25">
      <c r="A49" s="1">
        <v>900.01</v>
      </c>
      <c r="B49" s="1">
        <v>920</v>
      </c>
      <c r="C49" s="1">
        <v>120</v>
      </c>
      <c r="D49" s="1">
        <v>102</v>
      </c>
      <c r="E49" s="1">
        <v>222</v>
      </c>
      <c r="G49" s="1">
        <v>900.01</v>
      </c>
      <c r="H49" s="1">
        <v>920</v>
      </c>
      <c r="I49" s="1">
        <v>37</v>
      </c>
      <c r="J49" s="1">
        <v>0</v>
      </c>
      <c r="K49" s="1">
        <v>37</v>
      </c>
    </row>
    <row r="50" spans="1:11" x14ac:dyDescent="0.25">
      <c r="A50" s="1">
        <v>920.01</v>
      </c>
      <c r="B50" s="1">
        <v>940</v>
      </c>
      <c r="C50" s="1">
        <v>123</v>
      </c>
      <c r="D50" s="1">
        <v>104</v>
      </c>
      <c r="E50" s="1">
        <v>227</v>
      </c>
      <c r="G50" s="1">
        <v>920.01</v>
      </c>
      <c r="H50" s="1">
        <v>940</v>
      </c>
      <c r="I50" s="1">
        <v>38</v>
      </c>
      <c r="J50" s="1">
        <v>0</v>
      </c>
      <c r="K50" s="1">
        <v>38</v>
      </c>
    </row>
    <row r="51" spans="1:11" x14ac:dyDescent="0.25">
      <c r="A51" s="1">
        <v>940.01</v>
      </c>
      <c r="B51" s="1">
        <v>960</v>
      </c>
      <c r="C51" s="1">
        <v>125</v>
      </c>
      <c r="D51" s="1">
        <v>106</v>
      </c>
      <c r="E51" s="1">
        <v>231</v>
      </c>
      <c r="G51" s="1">
        <v>940.01</v>
      </c>
      <c r="H51" s="1">
        <v>960</v>
      </c>
      <c r="I51" s="1">
        <v>39</v>
      </c>
      <c r="J51" s="1">
        <v>0</v>
      </c>
      <c r="K51" s="1">
        <v>39</v>
      </c>
    </row>
    <row r="52" spans="1:11" x14ac:dyDescent="0.25">
      <c r="A52" s="1">
        <v>960.01</v>
      </c>
      <c r="B52" s="1">
        <v>980</v>
      </c>
      <c r="C52" s="1">
        <v>128</v>
      </c>
      <c r="D52" s="1">
        <v>108</v>
      </c>
      <c r="E52" s="1">
        <v>236</v>
      </c>
      <c r="G52" s="1">
        <v>960.01</v>
      </c>
      <c r="H52" s="1">
        <v>980</v>
      </c>
      <c r="I52" s="1">
        <v>40</v>
      </c>
      <c r="J52" s="1">
        <v>0</v>
      </c>
      <c r="K52" s="1">
        <v>40</v>
      </c>
    </row>
    <row r="53" spans="1:11" x14ac:dyDescent="0.25">
      <c r="A53" s="1">
        <v>980.01</v>
      </c>
      <c r="B53" s="1">
        <v>1000</v>
      </c>
      <c r="C53" s="1">
        <v>130</v>
      </c>
      <c r="D53" s="1">
        <v>110</v>
      </c>
      <c r="E53" s="1">
        <v>240</v>
      </c>
      <c r="G53" s="1">
        <v>980.01</v>
      </c>
      <c r="H53" s="1">
        <v>1000</v>
      </c>
      <c r="I53" s="1">
        <v>40</v>
      </c>
      <c r="J53" s="1">
        <v>0</v>
      </c>
      <c r="K53" s="1">
        <v>40</v>
      </c>
    </row>
    <row r="54" spans="1:11" x14ac:dyDescent="0.25">
      <c r="A54" s="1">
        <v>1000.01</v>
      </c>
      <c r="B54" s="1">
        <v>1020</v>
      </c>
      <c r="C54" s="1">
        <v>133</v>
      </c>
      <c r="D54" s="1">
        <v>113</v>
      </c>
      <c r="E54" s="1">
        <v>246</v>
      </c>
      <c r="G54" s="1">
        <v>1000.01</v>
      </c>
      <c r="H54" s="1">
        <v>1020</v>
      </c>
      <c r="I54" s="1">
        <v>41</v>
      </c>
      <c r="J54" s="1">
        <v>0</v>
      </c>
      <c r="K54" s="1">
        <v>41</v>
      </c>
    </row>
    <row r="55" spans="1:11" x14ac:dyDescent="0.25">
      <c r="A55" s="1">
        <v>1020.01</v>
      </c>
      <c r="B55" s="1">
        <v>1040</v>
      </c>
      <c r="C55" s="1">
        <v>136</v>
      </c>
      <c r="D55" s="1">
        <v>115</v>
      </c>
      <c r="E55" s="1">
        <v>251</v>
      </c>
      <c r="G55" s="1">
        <v>1020.01</v>
      </c>
      <c r="H55" s="1">
        <v>1040</v>
      </c>
      <c r="I55" s="1">
        <v>42</v>
      </c>
      <c r="J55" s="1">
        <v>0</v>
      </c>
      <c r="K55" s="1">
        <v>42</v>
      </c>
    </row>
    <row r="56" spans="1:11" x14ac:dyDescent="0.25">
      <c r="A56" s="1">
        <v>1040.01</v>
      </c>
      <c r="B56" s="1">
        <v>1060</v>
      </c>
      <c r="C56" s="1">
        <v>138</v>
      </c>
      <c r="D56" s="1">
        <v>117</v>
      </c>
      <c r="E56" s="1">
        <v>255</v>
      </c>
      <c r="G56" s="1">
        <v>1040.01</v>
      </c>
      <c r="H56" s="1">
        <v>1060</v>
      </c>
      <c r="I56" s="1">
        <v>43</v>
      </c>
      <c r="J56" s="1">
        <v>0</v>
      </c>
      <c r="K56" s="1">
        <v>43</v>
      </c>
    </row>
    <row r="57" spans="1:11" x14ac:dyDescent="0.25">
      <c r="A57" s="1">
        <v>1060.01</v>
      </c>
      <c r="B57" s="1">
        <v>1080</v>
      </c>
      <c r="C57" s="1">
        <v>141</v>
      </c>
      <c r="D57" s="1">
        <v>119</v>
      </c>
      <c r="E57" s="1">
        <v>260</v>
      </c>
      <c r="G57" s="1">
        <v>1060.01</v>
      </c>
      <c r="H57" s="1">
        <v>1080</v>
      </c>
      <c r="I57" s="1">
        <v>44</v>
      </c>
      <c r="J57" s="1">
        <v>0</v>
      </c>
      <c r="K57" s="1">
        <v>44</v>
      </c>
    </row>
    <row r="58" spans="1:11" x14ac:dyDescent="0.25">
      <c r="A58" s="1">
        <v>1080.01</v>
      </c>
      <c r="B58" s="1">
        <v>1100</v>
      </c>
      <c r="C58" s="1">
        <v>143</v>
      </c>
      <c r="D58" s="1">
        <v>121</v>
      </c>
      <c r="E58" s="1">
        <v>264</v>
      </c>
      <c r="G58" s="1">
        <v>1080.01</v>
      </c>
      <c r="H58" s="1">
        <v>1100</v>
      </c>
      <c r="I58" s="1">
        <v>44</v>
      </c>
      <c r="J58" s="1">
        <v>0</v>
      </c>
      <c r="K58" s="1">
        <v>44</v>
      </c>
    </row>
    <row r="59" spans="1:11" x14ac:dyDescent="0.25">
      <c r="A59" s="1">
        <v>1100.01</v>
      </c>
      <c r="B59" s="1">
        <v>1120</v>
      </c>
      <c r="C59" s="1">
        <v>146</v>
      </c>
      <c r="D59" s="1">
        <v>124</v>
      </c>
      <c r="E59" s="1">
        <v>270</v>
      </c>
      <c r="G59" s="1">
        <v>1100.01</v>
      </c>
      <c r="H59" s="1">
        <v>1120</v>
      </c>
      <c r="I59" s="1">
        <v>45</v>
      </c>
      <c r="J59" s="1">
        <v>0</v>
      </c>
      <c r="K59" s="1">
        <v>45</v>
      </c>
    </row>
    <row r="60" spans="1:11" x14ac:dyDescent="0.25">
      <c r="A60" s="1">
        <v>1120.01</v>
      </c>
      <c r="B60" s="1">
        <v>1140</v>
      </c>
      <c r="C60" s="1">
        <v>149</v>
      </c>
      <c r="D60" s="1">
        <v>126</v>
      </c>
      <c r="E60" s="1">
        <v>275</v>
      </c>
      <c r="G60" s="1">
        <v>1120.01</v>
      </c>
      <c r="H60" s="1">
        <v>1140</v>
      </c>
      <c r="I60" s="1">
        <v>46</v>
      </c>
      <c r="J60" s="1">
        <v>0</v>
      </c>
      <c r="K60" s="1">
        <v>46</v>
      </c>
    </row>
    <row r="61" spans="1:11" x14ac:dyDescent="0.25">
      <c r="A61" s="1">
        <v>1140.01</v>
      </c>
      <c r="B61" s="1">
        <v>1160</v>
      </c>
      <c r="C61" s="1">
        <v>151</v>
      </c>
      <c r="D61" s="1">
        <v>128</v>
      </c>
      <c r="E61" s="1">
        <v>279</v>
      </c>
      <c r="G61" s="1">
        <v>1140.01</v>
      </c>
      <c r="H61" s="1">
        <v>1160</v>
      </c>
      <c r="I61" s="1">
        <v>47</v>
      </c>
      <c r="J61" s="1">
        <v>0</v>
      </c>
      <c r="K61" s="1">
        <v>47</v>
      </c>
    </row>
    <row r="62" spans="1:11" x14ac:dyDescent="0.25">
      <c r="A62" s="1">
        <v>1160.01</v>
      </c>
      <c r="B62" s="1">
        <v>1180</v>
      </c>
      <c r="C62" s="1">
        <v>154</v>
      </c>
      <c r="D62" s="1">
        <v>130</v>
      </c>
      <c r="E62" s="1">
        <v>284</v>
      </c>
      <c r="G62" s="1">
        <v>1160.01</v>
      </c>
      <c r="H62" s="1">
        <v>1180</v>
      </c>
      <c r="I62" s="1">
        <v>48</v>
      </c>
      <c r="J62" s="1">
        <v>0</v>
      </c>
      <c r="K62" s="1">
        <v>48</v>
      </c>
    </row>
    <row r="63" spans="1:11" x14ac:dyDescent="0.25">
      <c r="A63" s="1">
        <v>1180.01</v>
      </c>
      <c r="B63" s="1">
        <v>1200</v>
      </c>
      <c r="C63" s="1">
        <v>156</v>
      </c>
      <c r="D63" s="1">
        <v>132</v>
      </c>
      <c r="E63" s="1">
        <v>288</v>
      </c>
      <c r="G63" s="1">
        <v>1180.01</v>
      </c>
      <c r="H63" s="1">
        <v>1200</v>
      </c>
      <c r="I63" s="1">
        <v>48</v>
      </c>
      <c r="J63" s="1">
        <v>0</v>
      </c>
      <c r="K63" s="1">
        <v>48</v>
      </c>
    </row>
    <row r="64" spans="1:11" x14ac:dyDescent="0.25">
      <c r="A64" s="1">
        <v>1200.01</v>
      </c>
      <c r="B64" s="1">
        <v>1220</v>
      </c>
      <c r="C64" s="1">
        <v>159</v>
      </c>
      <c r="D64" s="1">
        <v>135</v>
      </c>
      <c r="E64" s="1">
        <v>294</v>
      </c>
      <c r="G64" s="1">
        <v>1200.01</v>
      </c>
      <c r="H64" s="1">
        <v>1220</v>
      </c>
      <c r="I64" s="1">
        <v>49</v>
      </c>
      <c r="J64" s="1">
        <v>0</v>
      </c>
      <c r="K64" s="1">
        <v>49</v>
      </c>
    </row>
    <row r="65" spans="1:11" x14ac:dyDescent="0.25">
      <c r="A65" s="1">
        <v>1220.01</v>
      </c>
      <c r="B65" s="1">
        <v>1240</v>
      </c>
      <c r="C65" s="1">
        <v>162</v>
      </c>
      <c r="D65" s="1">
        <v>137</v>
      </c>
      <c r="E65" s="1">
        <v>299</v>
      </c>
      <c r="G65" s="1">
        <v>1220.01</v>
      </c>
      <c r="H65" s="1">
        <v>1240</v>
      </c>
      <c r="I65" s="1">
        <v>50</v>
      </c>
      <c r="J65" s="1">
        <v>0</v>
      </c>
      <c r="K65" s="1">
        <v>50</v>
      </c>
    </row>
    <row r="66" spans="1:11" x14ac:dyDescent="0.25">
      <c r="A66" s="1">
        <v>1240.01</v>
      </c>
      <c r="B66" s="1">
        <v>1260</v>
      </c>
      <c r="C66" s="1">
        <v>164</v>
      </c>
      <c r="D66" s="1">
        <v>139</v>
      </c>
      <c r="E66" s="1">
        <v>303</v>
      </c>
      <c r="G66" s="1">
        <v>1240.01</v>
      </c>
      <c r="H66" s="1">
        <v>1260</v>
      </c>
      <c r="I66" s="1">
        <v>51</v>
      </c>
      <c r="J66" s="1">
        <v>0</v>
      </c>
      <c r="K66" s="1">
        <v>51</v>
      </c>
    </row>
    <row r="67" spans="1:11" x14ac:dyDescent="0.25">
      <c r="A67" s="1">
        <v>1260.01</v>
      </c>
      <c r="B67" s="1">
        <v>1280</v>
      </c>
      <c r="C67" s="1">
        <v>167</v>
      </c>
      <c r="D67" s="1">
        <v>141</v>
      </c>
      <c r="E67" s="1">
        <v>308</v>
      </c>
      <c r="G67" s="1">
        <v>1260.01</v>
      </c>
      <c r="H67" s="1">
        <v>1280</v>
      </c>
      <c r="I67" s="1">
        <v>52</v>
      </c>
      <c r="J67" s="1">
        <v>0</v>
      </c>
      <c r="K67" s="1">
        <v>52</v>
      </c>
    </row>
    <row r="68" spans="1:11" x14ac:dyDescent="0.25">
      <c r="A68" s="1">
        <v>1280.01</v>
      </c>
      <c r="B68" s="1">
        <v>1300</v>
      </c>
      <c r="C68" s="1">
        <v>169</v>
      </c>
      <c r="D68" s="1">
        <v>143</v>
      </c>
      <c r="E68" s="1">
        <v>312</v>
      </c>
      <c r="G68" s="1">
        <v>1280.01</v>
      </c>
      <c r="H68" s="1">
        <v>1300</v>
      </c>
      <c r="I68" s="1">
        <v>52</v>
      </c>
      <c r="J68" s="1">
        <v>0</v>
      </c>
      <c r="K68" s="1">
        <v>52</v>
      </c>
    </row>
    <row r="69" spans="1:11" x14ac:dyDescent="0.25">
      <c r="A69" s="1">
        <v>1300.01</v>
      </c>
      <c r="B69" s="1">
        <v>1320</v>
      </c>
      <c r="C69" s="1">
        <v>172</v>
      </c>
      <c r="D69" s="1">
        <v>146</v>
      </c>
      <c r="E69" s="1">
        <v>318</v>
      </c>
      <c r="G69" s="1">
        <v>1300.01</v>
      </c>
      <c r="H69" s="1">
        <v>1320</v>
      </c>
      <c r="I69" s="1">
        <v>53</v>
      </c>
      <c r="J69" s="1">
        <v>0</v>
      </c>
      <c r="K69" s="1">
        <v>53</v>
      </c>
    </row>
    <row r="70" spans="1:11" x14ac:dyDescent="0.25">
      <c r="A70" s="1">
        <v>1320.01</v>
      </c>
      <c r="B70" s="1">
        <v>1340</v>
      </c>
      <c r="C70" s="1">
        <v>175</v>
      </c>
      <c r="D70" s="1">
        <v>148</v>
      </c>
      <c r="E70" s="1">
        <v>323</v>
      </c>
      <c r="G70" s="1">
        <v>1320.01</v>
      </c>
      <c r="H70" s="1">
        <v>1340</v>
      </c>
      <c r="I70" s="1">
        <v>54</v>
      </c>
      <c r="J70" s="1">
        <v>0</v>
      </c>
      <c r="K70" s="1">
        <v>54</v>
      </c>
    </row>
    <row r="71" spans="1:11" x14ac:dyDescent="0.25">
      <c r="A71" s="1">
        <v>1340.01</v>
      </c>
      <c r="B71" s="1">
        <v>1360</v>
      </c>
      <c r="C71" s="1">
        <v>177</v>
      </c>
      <c r="D71" s="1">
        <v>150</v>
      </c>
      <c r="E71" s="1">
        <v>327</v>
      </c>
      <c r="G71" s="1">
        <v>1340.01</v>
      </c>
      <c r="H71" s="1">
        <v>1360</v>
      </c>
      <c r="I71" s="1">
        <v>55</v>
      </c>
      <c r="J71" s="1">
        <v>0</v>
      </c>
      <c r="K71" s="1">
        <v>55</v>
      </c>
    </row>
    <row r="72" spans="1:11" x14ac:dyDescent="0.25">
      <c r="A72" s="1">
        <v>1360.01</v>
      </c>
      <c r="B72" s="1">
        <v>1380</v>
      </c>
      <c r="C72" s="1">
        <v>180</v>
      </c>
      <c r="D72" s="1">
        <v>152</v>
      </c>
      <c r="E72" s="1">
        <v>332</v>
      </c>
      <c r="G72" s="1">
        <v>1360.01</v>
      </c>
      <c r="H72" s="1">
        <v>1380</v>
      </c>
      <c r="I72" s="1">
        <v>56</v>
      </c>
      <c r="J72" s="1">
        <v>0</v>
      </c>
      <c r="K72" s="1">
        <v>56</v>
      </c>
    </row>
    <row r="73" spans="1:11" x14ac:dyDescent="0.25">
      <c r="A73" s="1">
        <v>1380.01</v>
      </c>
      <c r="B73" s="1">
        <v>1400</v>
      </c>
      <c r="C73" s="1">
        <v>182</v>
      </c>
      <c r="D73" s="1">
        <v>154</v>
      </c>
      <c r="E73" s="1">
        <v>336</v>
      </c>
      <c r="G73" s="1">
        <v>1380.01</v>
      </c>
      <c r="H73" s="1">
        <v>1400</v>
      </c>
      <c r="I73" s="1">
        <v>56</v>
      </c>
      <c r="J73" s="1">
        <v>0</v>
      </c>
      <c r="K73" s="1">
        <v>56</v>
      </c>
    </row>
    <row r="74" spans="1:11" x14ac:dyDescent="0.25">
      <c r="A74" s="1">
        <v>1400.01</v>
      </c>
      <c r="B74" s="1">
        <v>1420</v>
      </c>
      <c r="C74" s="1">
        <v>185</v>
      </c>
      <c r="D74" s="1">
        <v>157</v>
      </c>
      <c r="E74" s="1">
        <v>342</v>
      </c>
      <c r="G74" s="1">
        <v>1400.01</v>
      </c>
      <c r="H74" s="1">
        <v>1420</v>
      </c>
      <c r="I74" s="1">
        <v>57</v>
      </c>
      <c r="J74" s="1">
        <v>0</v>
      </c>
      <c r="K74" s="1">
        <v>57</v>
      </c>
    </row>
    <row r="75" spans="1:11" x14ac:dyDescent="0.25">
      <c r="A75" s="1">
        <v>1420.01</v>
      </c>
      <c r="B75" s="1">
        <v>1440</v>
      </c>
      <c r="C75" s="1">
        <v>188</v>
      </c>
      <c r="D75" s="1">
        <v>159</v>
      </c>
      <c r="E75" s="1">
        <v>347</v>
      </c>
      <c r="G75" s="1">
        <v>1420.01</v>
      </c>
      <c r="H75" s="1">
        <v>1440</v>
      </c>
      <c r="I75" s="1">
        <v>58</v>
      </c>
      <c r="J75" s="1">
        <v>0</v>
      </c>
      <c r="K75" s="1">
        <v>58</v>
      </c>
    </row>
    <row r="76" spans="1:11" x14ac:dyDescent="0.25">
      <c r="A76" s="1">
        <v>1440.01</v>
      </c>
      <c r="B76" s="1">
        <v>1460</v>
      </c>
      <c r="C76" s="1">
        <v>190</v>
      </c>
      <c r="D76" s="1">
        <v>161</v>
      </c>
      <c r="E76" s="1">
        <v>351</v>
      </c>
      <c r="G76" s="1">
        <v>1440.01</v>
      </c>
      <c r="H76" s="1">
        <v>1460</v>
      </c>
      <c r="I76" s="1">
        <v>59</v>
      </c>
      <c r="J76" s="1">
        <v>0</v>
      </c>
      <c r="K76" s="1">
        <v>59</v>
      </c>
    </row>
    <row r="77" spans="1:11" x14ac:dyDescent="0.25">
      <c r="A77" s="1">
        <v>1460.01</v>
      </c>
      <c r="B77" s="1">
        <v>1480</v>
      </c>
      <c r="C77" s="1">
        <v>193</v>
      </c>
      <c r="D77" s="1">
        <v>163</v>
      </c>
      <c r="E77" s="1">
        <v>356</v>
      </c>
      <c r="G77" s="1">
        <v>1460.01</v>
      </c>
      <c r="H77" s="1">
        <v>1480</v>
      </c>
      <c r="I77" s="1">
        <v>60</v>
      </c>
      <c r="J77" s="1">
        <v>0</v>
      </c>
      <c r="K77" s="1">
        <v>60</v>
      </c>
    </row>
    <row r="78" spans="1:11" x14ac:dyDescent="0.25">
      <c r="A78" s="1">
        <v>1480.01</v>
      </c>
      <c r="B78" s="1">
        <v>1500</v>
      </c>
      <c r="C78" s="1">
        <v>195</v>
      </c>
      <c r="D78" s="1">
        <v>165</v>
      </c>
      <c r="E78" s="1">
        <v>360</v>
      </c>
      <c r="G78" s="1">
        <v>1480.01</v>
      </c>
      <c r="H78" s="1">
        <v>1500</v>
      </c>
      <c r="I78" s="1">
        <v>60</v>
      </c>
      <c r="J78" s="1">
        <v>0</v>
      </c>
      <c r="K78" s="1">
        <v>60</v>
      </c>
    </row>
    <row r="79" spans="1:11" x14ac:dyDescent="0.25">
      <c r="A79" s="1">
        <v>1500.01</v>
      </c>
      <c r="B79" s="1">
        <v>1520</v>
      </c>
      <c r="C79" s="1">
        <v>198</v>
      </c>
      <c r="D79" s="1">
        <v>168</v>
      </c>
      <c r="E79" s="1">
        <v>366</v>
      </c>
      <c r="G79" s="1">
        <v>1500.01</v>
      </c>
      <c r="H79" s="1">
        <v>1520</v>
      </c>
      <c r="I79" s="1">
        <v>61</v>
      </c>
      <c r="J79" s="1">
        <v>0</v>
      </c>
      <c r="K79" s="1">
        <v>61</v>
      </c>
    </row>
    <row r="80" spans="1:11" x14ac:dyDescent="0.25">
      <c r="A80" s="1">
        <v>1520.01</v>
      </c>
      <c r="B80" s="1">
        <v>1540</v>
      </c>
      <c r="C80" s="1">
        <v>201</v>
      </c>
      <c r="D80" s="1">
        <v>170</v>
      </c>
      <c r="E80" s="1">
        <v>371</v>
      </c>
      <c r="G80" s="1">
        <v>1520.01</v>
      </c>
      <c r="H80" s="1">
        <v>1540</v>
      </c>
      <c r="I80" s="1">
        <v>62</v>
      </c>
      <c r="J80" s="1">
        <v>0</v>
      </c>
      <c r="K80" s="1">
        <v>62</v>
      </c>
    </row>
    <row r="81" spans="1:11" x14ac:dyDescent="0.25">
      <c r="A81" s="1">
        <v>1540.01</v>
      </c>
      <c r="B81" s="1">
        <v>1560</v>
      </c>
      <c r="C81" s="1">
        <v>203</v>
      </c>
      <c r="D81" s="1">
        <v>172</v>
      </c>
      <c r="E81" s="1">
        <v>375</v>
      </c>
      <c r="G81" s="1">
        <v>1540.01</v>
      </c>
      <c r="H81" s="1">
        <v>1560</v>
      </c>
      <c r="I81" s="1">
        <v>63</v>
      </c>
      <c r="J81" s="1">
        <v>0</v>
      </c>
      <c r="K81" s="1">
        <v>63</v>
      </c>
    </row>
    <row r="82" spans="1:11" x14ac:dyDescent="0.25">
      <c r="A82" s="1">
        <v>1560.01</v>
      </c>
      <c r="B82" s="1">
        <v>1580</v>
      </c>
      <c r="C82" s="1">
        <v>206</v>
      </c>
      <c r="D82" s="1">
        <v>174</v>
      </c>
      <c r="E82" s="1">
        <v>380</v>
      </c>
      <c r="G82" s="1">
        <v>1560.01</v>
      </c>
      <c r="H82" s="1">
        <v>1580</v>
      </c>
      <c r="I82" s="1">
        <v>64</v>
      </c>
      <c r="J82" s="1">
        <v>0</v>
      </c>
      <c r="K82" s="1">
        <v>64</v>
      </c>
    </row>
    <row r="83" spans="1:11" x14ac:dyDescent="0.25">
      <c r="A83" s="1">
        <v>1580.01</v>
      </c>
      <c r="B83" s="1">
        <v>1600</v>
      </c>
      <c r="C83" s="1">
        <v>208</v>
      </c>
      <c r="D83" s="1">
        <v>176</v>
      </c>
      <c r="E83" s="1">
        <v>384</v>
      </c>
      <c r="G83" s="1">
        <v>1580.01</v>
      </c>
      <c r="H83" s="1">
        <v>1600</v>
      </c>
      <c r="I83" s="1">
        <v>64</v>
      </c>
      <c r="J83" s="1">
        <v>0</v>
      </c>
      <c r="K83" s="1">
        <v>64</v>
      </c>
    </row>
    <row r="84" spans="1:11" x14ac:dyDescent="0.25">
      <c r="A84" s="1">
        <v>1600.01</v>
      </c>
      <c r="B84" s="1">
        <v>1620</v>
      </c>
      <c r="C84" s="1">
        <v>211</v>
      </c>
      <c r="D84" s="1">
        <v>179</v>
      </c>
      <c r="E84" s="1">
        <v>390</v>
      </c>
      <c r="G84" s="1">
        <v>1600.01</v>
      </c>
      <c r="H84" s="1">
        <v>1620</v>
      </c>
      <c r="I84" s="1">
        <v>65</v>
      </c>
      <c r="J84" s="1">
        <v>0</v>
      </c>
      <c r="K84" s="1">
        <v>65</v>
      </c>
    </row>
    <row r="85" spans="1:11" x14ac:dyDescent="0.25">
      <c r="A85" s="1">
        <v>1620.01</v>
      </c>
      <c r="B85" s="1">
        <v>1640</v>
      </c>
      <c r="C85" s="1">
        <v>214</v>
      </c>
      <c r="D85" s="1">
        <v>181</v>
      </c>
      <c r="E85" s="1">
        <v>395</v>
      </c>
      <c r="G85" s="1">
        <v>1620.01</v>
      </c>
      <c r="H85" s="1">
        <v>1640</v>
      </c>
      <c r="I85" s="1">
        <v>66</v>
      </c>
      <c r="J85" s="1">
        <v>0</v>
      </c>
      <c r="K85" s="1">
        <v>66</v>
      </c>
    </row>
    <row r="86" spans="1:11" x14ac:dyDescent="0.25">
      <c r="A86" s="1">
        <v>1640.01</v>
      </c>
      <c r="B86" s="1">
        <v>1660</v>
      </c>
      <c r="C86" s="1">
        <v>216</v>
      </c>
      <c r="D86" s="1">
        <v>183</v>
      </c>
      <c r="E86" s="1">
        <v>399</v>
      </c>
      <c r="G86" s="1">
        <v>1640.01</v>
      </c>
      <c r="H86" s="1">
        <v>1660</v>
      </c>
      <c r="I86" s="1">
        <v>67</v>
      </c>
      <c r="J86" s="1">
        <v>0</v>
      </c>
      <c r="K86" s="1">
        <v>67</v>
      </c>
    </row>
    <row r="87" spans="1:11" x14ac:dyDescent="0.25">
      <c r="A87" s="1">
        <v>1660.01</v>
      </c>
      <c r="B87" s="1">
        <v>1680</v>
      </c>
      <c r="C87" s="1">
        <v>219</v>
      </c>
      <c r="D87" s="1">
        <v>185</v>
      </c>
      <c r="E87" s="1">
        <v>404</v>
      </c>
      <c r="G87" s="1">
        <v>1660.01</v>
      </c>
      <c r="H87" s="1">
        <v>1680</v>
      </c>
      <c r="I87" s="1">
        <v>68</v>
      </c>
      <c r="J87" s="1">
        <v>0</v>
      </c>
      <c r="K87" s="1">
        <v>68</v>
      </c>
    </row>
    <row r="88" spans="1:11" x14ac:dyDescent="0.25">
      <c r="A88" s="1">
        <v>1680.01</v>
      </c>
      <c r="B88" s="1">
        <v>1700</v>
      </c>
      <c r="C88" s="1">
        <v>221</v>
      </c>
      <c r="D88" s="1">
        <v>187</v>
      </c>
      <c r="E88" s="1">
        <v>408</v>
      </c>
      <c r="G88" s="1">
        <v>1680.01</v>
      </c>
      <c r="H88" s="1">
        <v>1700</v>
      </c>
      <c r="I88" s="1">
        <v>68</v>
      </c>
      <c r="J88" s="1">
        <v>0</v>
      </c>
      <c r="K88" s="1">
        <v>68</v>
      </c>
    </row>
    <row r="89" spans="1:11" x14ac:dyDescent="0.25">
      <c r="A89" s="1">
        <v>1700.01</v>
      </c>
      <c r="B89" s="1">
        <v>1720</v>
      </c>
      <c r="C89" s="1">
        <v>224</v>
      </c>
      <c r="D89" s="1">
        <v>190</v>
      </c>
      <c r="E89" s="1">
        <v>414</v>
      </c>
      <c r="G89" s="1">
        <v>1700.01</v>
      </c>
      <c r="H89" s="1">
        <v>1720</v>
      </c>
      <c r="I89" s="1">
        <v>69</v>
      </c>
      <c r="J89" s="1">
        <v>0</v>
      </c>
      <c r="K89" s="1">
        <v>69</v>
      </c>
    </row>
    <row r="90" spans="1:11" x14ac:dyDescent="0.25">
      <c r="A90" s="1">
        <v>1720.01</v>
      </c>
      <c r="B90" s="1">
        <v>1740</v>
      </c>
      <c r="C90" s="1">
        <v>227</v>
      </c>
      <c r="D90" s="1">
        <v>192</v>
      </c>
      <c r="E90" s="1">
        <v>419</v>
      </c>
      <c r="G90" s="1">
        <v>1720.01</v>
      </c>
      <c r="H90" s="1">
        <v>1740</v>
      </c>
      <c r="I90" s="1">
        <v>70</v>
      </c>
      <c r="J90" s="1">
        <v>0</v>
      </c>
      <c r="K90" s="1">
        <v>70</v>
      </c>
    </row>
    <row r="91" spans="1:11" x14ac:dyDescent="0.25">
      <c r="A91" s="1">
        <v>1740.01</v>
      </c>
      <c r="B91" s="1">
        <v>1760</v>
      </c>
      <c r="C91" s="1">
        <v>229</v>
      </c>
      <c r="D91" s="1">
        <v>194</v>
      </c>
      <c r="E91" s="1">
        <v>423</v>
      </c>
      <c r="G91" s="1">
        <v>1740.01</v>
      </c>
      <c r="H91" s="1">
        <v>1760</v>
      </c>
      <c r="I91" s="1">
        <v>71</v>
      </c>
      <c r="J91" s="1">
        <v>0</v>
      </c>
      <c r="K91" s="1">
        <v>71</v>
      </c>
    </row>
    <row r="92" spans="1:11" x14ac:dyDescent="0.25">
      <c r="A92" s="1">
        <v>1760.01</v>
      </c>
      <c r="B92" s="1">
        <v>1780</v>
      </c>
      <c r="C92" s="1">
        <v>232</v>
      </c>
      <c r="D92" s="1">
        <v>196</v>
      </c>
      <c r="E92" s="1">
        <v>428</v>
      </c>
      <c r="G92" s="1">
        <v>1760.01</v>
      </c>
      <c r="H92" s="1">
        <v>1780</v>
      </c>
      <c r="I92" s="1">
        <v>72</v>
      </c>
      <c r="J92" s="1">
        <v>0</v>
      </c>
      <c r="K92" s="1">
        <v>72</v>
      </c>
    </row>
    <row r="93" spans="1:11" x14ac:dyDescent="0.25">
      <c r="A93" s="1">
        <v>1780.01</v>
      </c>
      <c r="B93" s="1">
        <v>1800</v>
      </c>
      <c r="C93" s="1">
        <v>234</v>
      </c>
      <c r="D93" s="1">
        <v>198</v>
      </c>
      <c r="E93" s="1">
        <v>432</v>
      </c>
      <c r="G93" s="1">
        <v>1780.01</v>
      </c>
      <c r="H93" s="1">
        <v>1800</v>
      </c>
      <c r="I93" s="1">
        <v>72</v>
      </c>
      <c r="J93" s="1">
        <v>0</v>
      </c>
      <c r="K93" s="1">
        <v>72</v>
      </c>
    </row>
    <row r="94" spans="1:11" x14ac:dyDescent="0.25">
      <c r="A94" s="1">
        <v>1800.01</v>
      </c>
      <c r="B94" s="1">
        <v>1820</v>
      </c>
      <c r="C94" s="1">
        <v>237</v>
      </c>
      <c r="D94" s="1">
        <v>201</v>
      </c>
      <c r="E94" s="1">
        <v>438</v>
      </c>
      <c r="G94" s="1">
        <v>1800.01</v>
      </c>
      <c r="H94" s="1">
        <v>1820</v>
      </c>
      <c r="I94" s="1">
        <v>73</v>
      </c>
      <c r="J94" s="1">
        <v>0</v>
      </c>
      <c r="K94" s="1">
        <v>73</v>
      </c>
    </row>
    <row r="95" spans="1:11" x14ac:dyDescent="0.25">
      <c r="A95" s="1">
        <v>1820.01</v>
      </c>
      <c r="B95" s="1">
        <v>1840</v>
      </c>
      <c r="C95" s="1">
        <v>240</v>
      </c>
      <c r="D95" s="1">
        <v>203</v>
      </c>
      <c r="E95" s="1">
        <v>443</v>
      </c>
      <c r="G95" s="1">
        <v>1820.01</v>
      </c>
      <c r="H95" s="1">
        <v>1840</v>
      </c>
      <c r="I95" s="1">
        <v>74</v>
      </c>
      <c r="J95" s="1">
        <v>0</v>
      </c>
      <c r="K95" s="1">
        <v>74</v>
      </c>
    </row>
    <row r="96" spans="1:11" x14ac:dyDescent="0.25">
      <c r="A96" s="1">
        <v>1840.01</v>
      </c>
      <c r="B96" s="1">
        <v>1860</v>
      </c>
      <c r="C96" s="1">
        <v>242</v>
      </c>
      <c r="D96" s="1">
        <v>205</v>
      </c>
      <c r="E96" s="1">
        <v>447</v>
      </c>
      <c r="G96" s="1">
        <v>1840.01</v>
      </c>
      <c r="H96" s="1">
        <v>1860</v>
      </c>
      <c r="I96" s="1">
        <v>75</v>
      </c>
      <c r="J96" s="1">
        <v>0</v>
      </c>
      <c r="K96" s="1">
        <v>75</v>
      </c>
    </row>
    <row r="97" spans="1:11" x14ac:dyDescent="0.25">
      <c r="A97" s="1">
        <v>1860.01</v>
      </c>
      <c r="B97" s="1">
        <v>1880</v>
      </c>
      <c r="C97" s="1">
        <v>245</v>
      </c>
      <c r="D97" s="1">
        <v>207</v>
      </c>
      <c r="E97" s="1">
        <v>452</v>
      </c>
      <c r="G97" s="1">
        <v>1860.01</v>
      </c>
      <c r="H97" s="1">
        <v>1880</v>
      </c>
      <c r="I97" s="1">
        <v>76</v>
      </c>
      <c r="J97" s="1">
        <v>0</v>
      </c>
      <c r="K97" s="1">
        <v>76</v>
      </c>
    </row>
    <row r="98" spans="1:11" x14ac:dyDescent="0.25">
      <c r="A98" s="1">
        <v>1880.01</v>
      </c>
      <c r="B98" s="1">
        <v>1900</v>
      </c>
      <c r="C98" s="1">
        <v>247</v>
      </c>
      <c r="D98" s="1">
        <v>209</v>
      </c>
      <c r="E98" s="1">
        <v>456</v>
      </c>
      <c r="G98" s="1">
        <v>1880.01</v>
      </c>
      <c r="H98" s="1">
        <v>1900</v>
      </c>
      <c r="I98" s="1">
        <v>76</v>
      </c>
      <c r="J98" s="1">
        <v>0</v>
      </c>
      <c r="K98" s="1">
        <v>76</v>
      </c>
    </row>
    <row r="99" spans="1:11" x14ac:dyDescent="0.25">
      <c r="A99" s="1">
        <v>1900.01</v>
      </c>
      <c r="B99" s="1">
        <v>1920</v>
      </c>
      <c r="C99" s="1">
        <v>250</v>
      </c>
      <c r="D99" s="1">
        <v>212</v>
      </c>
      <c r="E99" s="1">
        <v>462</v>
      </c>
      <c r="G99" s="1">
        <v>1900.01</v>
      </c>
      <c r="H99" s="1">
        <v>1920</v>
      </c>
      <c r="I99" s="1">
        <v>77</v>
      </c>
      <c r="J99" s="1">
        <v>0</v>
      </c>
      <c r="K99" s="1">
        <v>77</v>
      </c>
    </row>
    <row r="100" spans="1:11" x14ac:dyDescent="0.25">
      <c r="A100" s="1">
        <v>1920.01</v>
      </c>
      <c r="B100" s="1">
        <v>1940</v>
      </c>
      <c r="C100" s="1">
        <v>253</v>
      </c>
      <c r="D100" s="1">
        <v>214</v>
      </c>
      <c r="E100" s="1">
        <v>467</v>
      </c>
      <c r="G100" s="1">
        <v>1920.01</v>
      </c>
      <c r="H100" s="1">
        <v>1940</v>
      </c>
      <c r="I100" s="1">
        <v>78</v>
      </c>
      <c r="J100" s="1">
        <v>0</v>
      </c>
      <c r="K100" s="1">
        <v>78</v>
      </c>
    </row>
    <row r="101" spans="1:11" x14ac:dyDescent="0.25">
      <c r="A101" s="1">
        <v>1940.01</v>
      </c>
      <c r="B101" s="1">
        <v>1960</v>
      </c>
      <c r="C101" s="1">
        <v>255</v>
      </c>
      <c r="D101" s="1">
        <v>216</v>
      </c>
      <c r="E101" s="1">
        <v>471</v>
      </c>
      <c r="G101" s="1">
        <v>1940.01</v>
      </c>
      <c r="H101" s="1">
        <v>1960</v>
      </c>
      <c r="I101" s="1">
        <v>79</v>
      </c>
      <c r="J101" s="1">
        <v>0</v>
      </c>
      <c r="K101" s="1">
        <v>79</v>
      </c>
    </row>
    <row r="102" spans="1:11" x14ac:dyDescent="0.25">
      <c r="A102" s="1">
        <v>1960.01</v>
      </c>
      <c r="B102" s="1">
        <v>1980</v>
      </c>
      <c r="C102" s="1">
        <v>258</v>
      </c>
      <c r="D102" s="1">
        <v>218</v>
      </c>
      <c r="E102" s="1">
        <v>476</v>
      </c>
      <c r="G102" s="1">
        <v>1960.01</v>
      </c>
      <c r="H102" s="1">
        <v>1980</v>
      </c>
      <c r="I102" s="1">
        <v>80</v>
      </c>
      <c r="J102" s="1">
        <v>0</v>
      </c>
      <c r="K102" s="1">
        <v>80</v>
      </c>
    </row>
    <row r="103" spans="1:11" x14ac:dyDescent="0.25">
      <c r="A103" s="1">
        <v>1980.01</v>
      </c>
      <c r="B103" s="1">
        <v>2000</v>
      </c>
      <c r="C103" s="1">
        <v>260</v>
      </c>
      <c r="D103" s="1">
        <v>220</v>
      </c>
      <c r="E103" s="1">
        <v>480</v>
      </c>
      <c r="G103" s="1">
        <v>1980.01</v>
      </c>
      <c r="H103" s="1">
        <v>2000</v>
      </c>
      <c r="I103" s="1">
        <v>80</v>
      </c>
      <c r="J103" s="1">
        <v>0</v>
      </c>
      <c r="K103" s="1">
        <v>80</v>
      </c>
    </row>
    <row r="104" spans="1:11" x14ac:dyDescent="0.25">
      <c r="A104" s="1">
        <v>2000.01</v>
      </c>
      <c r="B104" s="1">
        <v>2020</v>
      </c>
      <c r="C104" s="1">
        <v>263</v>
      </c>
      <c r="D104" s="1">
        <v>223</v>
      </c>
      <c r="E104" s="1">
        <v>486</v>
      </c>
      <c r="G104" s="1">
        <v>2000.01</v>
      </c>
      <c r="H104" s="1">
        <v>2020</v>
      </c>
      <c r="I104" s="1">
        <v>81</v>
      </c>
      <c r="J104" s="1">
        <v>0</v>
      </c>
      <c r="K104" s="1">
        <v>81</v>
      </c>
    </row>
    <row r="105" spans="1:11" x14ac:dyDescent="0.25">
      <c r="A105" s="1">
        <v>2020.01</v>
      </c>
      <c r="B105" s="1">
        <v>2040</v>
      </c>
      <c r="C105" s="1">
        <v>266</v>
      </c>
      <c r="D105" s="1">
        <v>225</v>
      </c>
      <c r="E105" s="1">
        <v>491</v>
      </c>
      <c r="G105" s="1">
        <v>2020.01</v>
      </c>
      <c r="H105" s="1">
        <v>2040</v>
      </c>
      <c r="I105" s="1">
        <v>82</v>
      </c>
      <c r="J105" s="1">
        <v>0</v>
      </c>
      <c r="K105" s="1">
        <v>82</v>
      </c>
    </row>
    <row r="106" spans="1:11" x14ac:dyDescent="0.25">
      <c r="A106" s="1">
        <v>2040.01</v>
      </c>
      <c r="B106" s="1">
        <v>2060</v>
      </c>
      <c r="C106" s="1">
        <v>268</v>
      </c>
      <c r="D106" s="1">
        <v>227</v>
      </c>
      <c r="E106" s="1">
        <v>495</v>
      </c>
      <c r="G106" s="1">
        <v>2040.01</v>
      </c>
      <c r="H106" s="1">
        <v>2060</v>
      </c>
      <c r="I106" s="1">
        <v>83</v>
      </c>
      <c r="J106" s="1">
        <v>0</v>
      </c>
      <c r="K106" s="1">
        <v>83</v>
      </c>
    </row>
    <row r="107" spans="1:11" x14ac:dyDescent="0.25">
      <c r="A107" s="1">
        <v>2060.0100000000002</v>
      </c>
      <c r="B107" s="1">
        <v>2080</v>
      </c>
      <c r="C107" s="1">
        <v>271</v>
      </c>
      <c r="D107" s="1">
        <v>229</v>
      </c>
      <c r="E107" s="1">
        <v>500</v>
      </c>
      <c r="G107" s="1">
        <v>2060.0100000000002</v>
      </c>
      <c r="H107" s="1">
        <v>2080</v>
      </c>
      <c r="I107" s="1">
        <v>84</v>
      </c>
      <c r="J107" s="1">
        <v>0</v>
      </c>
      <c r="K107" s="1">
        <v>84</v>
      </c>
    </row>
    <row r="108" spans="1:11" x14ac:dyDescent="0.25">
      <c r="A108" s="1">
        <v>2080.0100000000002</v>
      </c>
      <c r="B108" s="1">
        <v>2100</v>
      </c>
      <c r="C108" s="1">
        <v>273</v>
      </c>
      <c r="D108" s="1">
        <v>231</v>
      </c>
      <c r="E108" s="1">
        <v>504</v>
      </c>
      <c r="G108" s="1">
        <v>2080.0100000000002</v>
      </c>
      <c r="H108" s="1">
        <v>2100</v>
      </c>
      <c r="I108" s="1">
        <v>84</v>
      </c>
      <c r="J108" s="1">
        <v>0</v>
      </c>
      <c r="K108" s="1">
        <v>84</v>
      </c>
    </row>
    <row r="109" spans="1:11" x14ac:dyDescent="0.25">
      <c r="A109" s="1">
        <v>2100.0100000000002</v>
      </c>
      <c r="B109" s="1">
        <v>2120</v>
      </c>
      <c r="C109" s="1">
        <v>276</v>
      </c>
      <c r="D109" s="1">
        <v>234</v>
      </c>
      <c r="E109" s="1">
        <v>510</v>
      </c>
      <c r="G109" s="1">
        <v>2100.0100000000002</v>
      </c>
      <c r="H109" s="1">
        <v>2120</v>
      </c>
      <c r="I109" s="1">
        <v>85</v>
      </c>
      <c r="J109" s="1">
        <v>0</v>
      </c>
      <c r="K109" s="1">
        <v>85</v>
      </c>
    </row>
    <row r="110" spans="1:11" x14ac:dyDescent="0.25">
      <c r="A110" s="1">
        <v>2120.0100000000002</v>
      </c>
      <c r="B110" s="1">
        <v>2140</v>
      </c>
      <c r="C110" s="1">
        <v>279</v>
      </c>
      <c r="D110" s="1">
        <v>236</v>
      </c>
      <c r="E110" s="1">
        <v>515</v>
      </c>
      <c r="G110" s="1">
        <v>2120.0100000000002</v>
      </c>
      <c r="H110" s="1">
        <v>2140</v>
      </c>
      <c r="I110" s="1">
        <v>86</v>
      </c>
      <c r="J110" s="1">
        <v>0</v>
      </c>
      <c r="K110" s="1">
        <v>86</v>
      </c>
    </row>
    <row r="111" spans="1:11" x14ac:dyDescent="0.25">
      <c r="A111" s="1">
        <v>2140.0100000000002</v>
      </c>
      <c r="B111" s="1">
        <v>2160</v>
      </c>
      <c r="C111" s="1">
        <v>281</v>
      </c>
      <c r="D111" s="1">
        <v>238</v>
      </c>
      <c r="E111" s="1">
        <v>519</v>
      </c>
      <c r="G111" s="1">
        <v>2140.0100000000002</v>
      </c>
      <c r="H111" s="1">
        <v>2160</v>
      </c>
      <c r="I111" s="1">
        <v>87</v>
      </c>
      <c r="J111" s="1">
        <v>0</v>
      </c>
      <c r="K111" s="1">
        <v>87</v>
      </c>
    </row>
    <row r="112" spans="1:11" x14ac:dyDescent="0.25">
      <c r="A112" s="1">
        <v>2160.0100000000002</v>
      </c>
      <c r="B112" s="1">
        <v>2180</v>
      </c>
      <c r="C112" s="1">
        <v>284</v>
      </c>
      <c r="D112" s="1">
        <v>240</v>
      </c>
      <c r="E112" s="1">
        <v>524</v>
      </c>
      <c r="G112" s="1">
        <v>2160.0100000000002</v>
      </c>
      <c r="H112" s="1">
        <v>2180</v>
      </c>
      <c r="I112" s="1">
        <v>88</v>
      </c>
      <c r="J112" s="1">
        <v>0</v>
      </c>
      <c r="K112" s="1">
        <v>88</v>
      </c>
    </row>
    <row r="113" spans="1:11" x14ac:dyDescent="0.25">
      <c r="A113" s="1">
        <v>2180.0100000000002</v>
      </c>
      <c r="B113" s="1">
        <v>2200</v>
      </c>
      <c r="C113" s="1">
        <v>286</v>
      </c>
      <c r="D113" s="1">
        <v>242</v>
      </c>
      <c r="E113" s="1">
        <v>528</v>
      </c>
      <c r="G113" s="1">
        <v>2180.0100000000002</v>
      </c>
      <c r="H113" s="1">
        <v>2200</v>
      </c>
      <c r="I113" s="1">
        <v>88</v>
      </c>
      <c r="J113" s="1">
        <v>0</v>
      </c>
      <c r="K113" s="1">
        <v>88</v>
      </c>
    </row>
    <row r="114" spans="1:11" x14ac:dyDescent="0.25">
      <c r="A114" s="1">
        <v>2200.0100000000002</v>
      </c>
      <c r="B114" s="1">
        <v>2220</v>
      </c>
      <c r="C114" s="1">
        <v>289</v>
      </c>
      <c r="D114" s="1">
        <v>245</v>
      </c>
      <c r="E114" s="1">
        <v>534</v>
      </c>
      <c r="G114" s="1">
        <v>2200.0100000000002</v>
      </c>
      <c r="H114" s="1">
        <v>2220</v>
      </c>
      <c r="I114" s="1">
        <v>89</v>
      </c>
      <c r="J114" s="1">
        <v>0</v>
      </c>
      <c r="K114" s="1">
        <v>89</v>
      </c>
    </row>
    <row r="115" spans="1:11" x14ac:dyDescent="0.25">
      <c r="A115" s="1">
        <v>2220.0100000000002</v>
      </c>
      <c r="B115" s="1">
        <v>2240</v>
      </c>
      <c r="C115" s="1">
        <v>292</v>
      </c>
      <c r="D115" s="1">
        <v>247</v>
      </c>
      <c r="E115" s="1">
        <v>539</v>
      </c>
      <c r="G115" s="1">
        <v>2220.0100000000002</v>
      </c>
      <c r="H115" s="1">
        <v>2240</v>
      </c>
      <c r="I115" s="1">
        <v>90</v>
      </c>
      <c r="J115" s="1">
        <v>0</v>
      </c>
      <c r="K115" s="1">
        <v>90</v>
      </c>
    </row>
    <row r="116" spans="1:11" x14ac:dyDescent="0.25">
      <c r="A116" s="1">
        <v>2240.0100000000002</v>
      </c>
      <c r="B116" s="1">
        <v>2260</v>
      </c>
      <c r="C116" s="1">
        <v>294</v>
      </c>
      <c r="D116" s="1">
        <v>249</v>
      </c>
      <c r="E116" s="1">
        <v>543</v>
      </c>
      <c r="G116" s="1">
        <v>2240.0100000000002</v>
      </c>
      <c r="H116" s="1">
        <v>2260</v>
      </c>
      <c r="I116" s="1">
        <v>91</v>
      </c>
      <c r="J116" s="1">
        <v>0</v>
      </c>
      <c r="K116" s="1">
        <v>91</v>
      </c>
    </row>
    <row r="117" spans="1:11" x14ac:dyDescent="0.25">
      <c r="A117" s="1">
        <v>2260.0100000000002</v>
      </c>
      <c r="B117" s="1">
        <v>2280</v>
      </c>
      <c r="C117" s="1">
        <v>297</v>
      </c>
      <c r="D117" s="1">
        <v>251</v>
      </c>
      <c r="E117" s="1">
        <v>548</v>
      </c>
      <c r="G117" s="1">
        <v>2260.0100000000002</v>
      </c>
      <c r="H117" s="1">
        <v>2280</v>
      </c>
      <c r="I117" s="1">
        <v>92</v>
      </c>
      <c r="J117" s="1">
        <v>0</v>
      </c>
      <c r="K117" s="1">
        <v>92</v>
      </c>
    </row>
    <row r="118" spans="1:11" x14ac:dyDescent="0.25">
      <c r="A118" s="1">
        <v>2280.0100000000002</v>
      </c>
      <c r="B118" s="1">
        <v>2300</v>
      </c>
      <c r="C118" s="1">
        <v>299</v>
      </c>
      <c r="D118" s="1">
        <v>253</v>
      </c>
      <c r="E118" s="1">
        <v>552</v>
      </c>
      <c r="G118" s="1">
        <v>2280.0100000000002</v>
      </c>
      <c r="H118" s="1">
        <v>2300</v>
      </c>
      <c r="I118" s="1">
        <v>92</v>
      </c>
      <c r="J118" s="1">
        <v>0</v>
      </c>
      <c r="K118" s="1">
        <v>92</v>
      </c>
    </row>
    <row r="119" spans="1:11" x14ac:dyDescent="0.25">
      <c r="A119" s="1">
        <v>2300.0100000000002</v>
      </c>
      <c r="B119" s="1">
        <v>2320</v>
      </c>
      <c r="C119" s="1">
        <v>302</v>
      </c>
      <c r="D119" s="1">
        <v>256</v>
      </c>
      <c r="E119" s="1">
        <v>558</v>
      </c>
      <c r="G119" s="1">
        <v>2300.0100000000002</v>
      </c>
      <c r="H119" s="1">
        <v>2320</v>
      </c>
      <c r="I119" s="1">
        <v>93</v>
      </c>
      <c r="J119" s="1">
        <v>0</v>
      </c>
      <c r="K119" s="1">
        <v>93</v>
      </c>
    </row>
    <row r="120" spans="1:11" x14ac:dyDescent="0.25">
      <c r="A120" s="1">
        <v>2320.0100000000002</v>
      </c>
      <c r="B120" s="1">
        <v>2340</v>
      </c>
      <c r="C120" s="1">
        <v>305</v>
      </c>
      <c r="D120" s="1">
        <v>258</v>
      </c>
      <c r="E120" s="1">
        <v>563</v>
      </c>
      <c r="G120" s="1">
        <v>2320.0100000000002</v>
      </c>
      <c r="H120" s="1">
        <v>2340</v>
      </c>
      <c r="I120" s="1">
        <v>94</v>
      </c>
      <c r="J120" s="1">
        <v>0</v>
      </c>
      <c r="K120" s="1">
        <v>94</v>
      </c>
    </row>
    <row r="121" spans="1:11" x14ac:dyDescent="0.25">
      <c r="A121" s="1">
        <v>2340.0100000000002</v>
      </c>
      <c r="B121" s="1">
        <v>2360</v>
      </c>
      <c r="C121" s="1">
        <v>307</v>
      </c>
      <c r="D121" s="1">
        <v>260</v>
      </c>
      <c r="E121" s="1">
        <v>567</v>
      </c>
      <c r="G121" s="1">
        <v>2340.0100000000002</v>
      </c>
      <c r="H121" s="1">
        <v>2360</v>
      </c>
      <c r="I121" s="1">
        <v>95</v>
      </c>
      <c r="J121" s="1">
        <v>0</v>
      </c>
      <c r="K121" s="1">
        <v>95</v>
      </c>
    </row>
    <row r="122" spans="1:11" x14ac:dyDescent="0.25">
      <c r="A122" s="1">
        <v>2360.0100000000002</v>
      </c>
      <c r="B122" s="1">
        <v>2380</v>
      </c>
      <c r="C122" s="1">
        <v>310</v>
      </c>
      <c r="D122" s="1">
        <v>262</v>
      </c>
      <c r="E122" s="1">
        <v>572</v>
      </c>
      <c r="G122" s="1">
        <v>2360.0100000000002</v>
      </c>
      <c r="H122" s="1">
        <v>2380</v>
      </c>
      <c r="I122" s="1">
        <v>96</v>
      </c>
      <c r="J122" s="1">
        <v>0</v>
      </c>
      <c r="K122" s="1">
        <v>96</v>
      </c>
    </row>
    <row r="123" spans="1:11" x14ac:dyDescent="0.25">
      <c r="A123" s="1">
        <v>2380.0100000000002</v>
      </c>
      <c r="B123" s="1">
        <v>2400</v>
      </c>
      <c r="C123" s="1">
        <v>312</v>
      </c>
      <c r="D123" s="1">
        <v>264</v>
      </c>
      <c r="E123" s="1">
        <v>576</v>
      </c>
      <c r="G123" s="1">
        <v>2380.0100000000002</v>
      </c>
      <c r="H123" s="1">
        <v>2400</v>
      </c>
      <c r="I123" s="1">
        <v>96</v>
      </c>
      <c r="J123" s="1">
        <v>0</v>
      </c>
      <c r="K123" s="1">
        <v>96</v>
      </c>
    </row>
    <row r="124" spans="1:11" x14ac:dyDescent="0.25">
      <c r="A124" s="1">
        <v>2400.0100000000002</v>
      </c>
      <c r="B124" s="1">
        <v>2420</v>
      </c>
      <c r="C124" s="1">
        <v>315</v>
      </c>
      <c r="D124" s="1">
        <v>267</v>
      </c>
      <c r="E124" s="1">
        <v>582</v>
      </c>
      <c r="G124" s="1">
        <v>2400.0100000000002</v>
      </c>
      <c r="H124" s="1">
        <v>2420</v>
      </c>
      <c r="I124" s="1">
        <v>97</v>
      </c>
      <c r="J124" s="1">
        <v>0</v>
      </c>
      <c r="K124" s="1">
        <v>97</v>
      </c>
    </row>
    <row r="125" spans="1:11" x14ac:dyDescent="0.25">
      <c r="A125" s="1">
        <v>2420.0100000000002</v>
      </c>
      <c r="B125" s="1">
        <v>2440</v>
      </c>
      <c r="C125" s="1">
        <v>318</v>
      </c>
      <c r="D125" s="1">
        <v>269</v>
      </c>
      <c r="E125" s="1">
        <v>587</v>
      </c>
      <c r="G125" s="1">
        <v>2420.0100000000002</v>
      </c>
      <c r="H125" s="1">
        <v>2440</v>
      </c>
      <c r="I125" s="1">
        <v>98</v>
      </c>
      <c r="J125" s="1">
        <v>0</v>
      </c>
      <c r="K125" s="1">
        <v>98</v>
      </c>
    </row>
    <row r="126" spans="1:11" x14ac:dyDescent="0.25">
      <c r="A126" s="1">
        <v>2440.0100000000002</v>
      </c>
      <c r="B126" s="1">
        <v>2460</v>
      </c>
      <c r="C126" s="1">
        <v>320</v>
      </c>
      <c r="D126" s="1">
        <v>271</v>
      </c>
      <c r="E126" s="1">
        <v>591</v>
      </c>
      <c r="G126" s="1">
        <v>2440.0100000000002</v>
      </c>
      <c r="H126" s="1">
        <v>2460</v>
      </c>
      <c r="I126" s="1">
        <v>99</v>
      </c>
      <c r="J126" s="1">
        <v>0</v>
      </c>
      <c r="K126" s="1">
        <v>99</v>
      </c>
    </row>
    <row r="127" spans="1:11" x14ac:dyDescent="0.25">
      <c r="A127" s="1">
        <v>2460.0100000000002</v>
      </c>
      <c r="B127" s="1">
        <v>2480</v>
      </c>
      <c r="C127" s="1">
        <v>323</v>
      </c>
      <c r="D127" s="1">
        <v>273</v>
      </c>
      <c r="E127" s="1">
        <v>596</v>
      </c>
      <c r="G127" s="1">
        <v>2460.0100000000002</v>
      </c>
      <c r="H127" s="1">
        <v>2480</v>
      </c>
      <c r="I127" s="1">
        <v>100</v>
      </c>
      <c r="J127" s="1">
        <v>0</v>
      </c>
      <c r="K127" s="1">
        <v>100</v>
      </c>
    </row>
    <row r="128" spans="1:11" x14ac:dyDescent="0.25">
      <c r="A128" s="1">
        <v>2480.0100000000002</v>
      </c>
      <c r="B128" s="1">
        <v>2500</v>
      </c>
      <c r="C128" s="1">
        <v>325</v>
      </c>
      <c r="D128" s="1">
        <v>275</v>
      </c>
      <c r="E128" s="1">
        <v>600</v>
      </c>
      <c r="G128" s="1">
        <v>2480.0100000000002</v>
      </c>
      <c r="H128" s="1">
        <v>2500</v>
      </c>
      <c r="I128" s="1">
        <v>100</v>
      </c>
      <c r="J128" s="1">
        <v>0</v>
      </c>
      <c r="K128" s="1">
        <v>100</v>
      </c>
    </row>
    <row r="129" spans="1:11" x14ac:dyDescent="0.25">
      <c r="A129" s="1">
        <v>2500.0100000000002</v>
      </c>
      <c r="B129" s="1">
        <v>2520</v>
      </c>
      <c r="C129" s="1">
        <v>328</v>
      </c>
      <c r="D129" s="1">
        <v>278</v>
      </c>
      <c r="E129" s="1">
        <v>606</v>
      </c>
      <c r="G129" s="1">
        <v>2500.0100000000002</v>
      </c>
      <c r="H129" s="1">
        <v>2520</v>
      </c>
      <c r="I129" s="1">
        <v>101</v>
      </c>
      <c r="J129" s="1">
        <v>0</v>
      </c>
      <c r="K129" s="1">
        <v>101</v>
      </c>
    </row>
    <row r="130" spans="1:11" x14ac:dyDescent="0.25">
      <c r="A130" s="1">
        <v>2520.0100000000002</v>
      </c>
      <c r="B130" s="1">
        <v>2540</v>
      </c>
      <c r="C130" s="1">
        <v>331</v>
      </c>
      <c r="D130" s="1">
        <v>280</v>
      </c>
      <c r="E130" s="1">
        <v>611</v>
      </c>
      <c r="G130" s="1">
        <v>2520.0100000000002</v>
      </c>
      <c r="H130" s="1">
        <v>2540</v>
      </c>
      <c r="I130" s="1">
        <v>102</v>
      </c>
      <c r="J130" s="1">
        <v>0</v>
      </c>
      <c r="K130" s="1">
        <v>102</v>
      </c>
    </row>
    <row r="131" spans="1:11" x14ac:dyDescent="0.25">
      <c r="A131" s="1">
        <v>2540.0100000000002</v>
      </c>
      <c r="B131" s="1">
        <v>2560</v>
      </c>
      <c r="C131" s="1">
        <v>333</v>
      </c>
      <c r="D131" s="1">
        <v>282</v>
      </c>
      <c r="E131" s="1">
        <v>615</v>
      </c>
      <c r="G131" s="1">
        <v>2540.0100000000002</v>
      </c>
      <c r="H131" s="1">
        <v>2560</v>
      </c>
      <c r="I131" s="1">
        <v>103</v>
      </c>
      <c r="J131" s="1">
        <v>0</v>
      </c>
      <c r="K131" s="1">
        <v>103</v>
      </c>
    </row>
    <row r="132" spans="1:11" x14ac:dyDescent="0.25">
      <c r="A132" s="1">
        <v>2560.0100000000002</v>
      </c>
      <c r="B132" s="1">
        <v>2580</v>
      </c>
      <c r="C132" s="1">
        <v>336</v>
      </c>
      <c r="D132" s="1">
        <v>284</v>
      </c>
      <c r="E132" s="1">
        <v>620</v>
      </c>
      <c r="G132" s="1">
        <v>2560.0100000000002</v>
      </c>
      <c r="H132" s="1">
        <v>2580</v>
      </c>
      <c r="I132" s="1">
        <v>104</v>
      </c>
      <c r="J132" s="1">
        <v>0</v>
      </c>
      <c r="K132" s="1">
        <v>104</v>
      </c>
    </row>
    <row r="133" spans="1:11" x14ac:dyDescent="0.25">
      <c r="A133" s="1">
        <v>2580.0100000000002</v>
      </c>
      <c r="B133" s="1">
        <v>2600</v>
      </c>
      <c r="C133" s="1">
        <v>338</v>
      </c>
      <c r="D133" s="1">
        <v>286</v>
      </c>
      <c r="E133" s="1">
        <v>624</v>
      </c>
      <c r="G133" s="1">
        <v>2580.0100000000002</v>
      </c>
      <c r="H133" s="1">
        <v>2600</v>
      </c>
      <c r="I133" s="1">
        <v>104</v>
      </c>
      <c r="J133" s="1">
        <v>0</v>
      </c>
      <c r="K133" s="1">
        <v>104</v>
      </c>
    </row>
    <row r="134" spans="1:11" x14ac:dyDescent="0.25">
      <c r="A134" s="1">
        <v>2600.0100000000002</v>
      </c>
      <c r="B134" s="1">
        <v>2620</v>
      </c>
      <c r="C134" s="1">
        <v>341</v>
      </c>
      <c r="D134" s="1">
        <v>289</v>
      </c>
      <c r="E134" s="1">
        <v>630</v>
      </c>
      <c r="G134" s="1">
        <v>2600.0100000000002</v>
      </c>
      <c r="H134" s="1">
        <v>2620</v>
      </c>
      <c r="I134" s="1">
        <v>105</v>
      </c>
      <c r="J134" s="1">
        <v>0</v>
      </c>
      <c r="K134" s="1">
        <v>105</v>
      </c>
    </row>
    <row r="135" spans="1:11" x14ac:dyDescent="0.25">
      <c r="A135" s="1">
        <v>2620.0100000000002</v>
      </c>
      <c r="B135" s="1">
        <v>2640</v>
      </c>
      <c r="C135" s="1">
        <v>344</v>
      </c>
      <c r="D135" s="1">
        <v>291</v>
      </c>
      <c r="E135" s="1">
        <v>635</v>
      </c>
      <c r="G135" s="1">
        <v>2620.0100000000002</v>
      </c>
      <c r="H135" s="1">
        <v>2640</v>
      </c>
      <c r="I135" s="1">
        <v>106</v>
      </c>
      <c r="J135" s="1">
        <v>0</v>
      </c>
      <c r="K135" s="1">
        <v>106</v>
      </c>
    </row>
    <row r="136" spans="1:11" x14ac:dyDescent="0.25">
      <c r="A136" s="1">
        <v>2640.01</v>
      </c>
      <c r="B136" s="1">
        <v>2660</v>
      </c>
      <c r="C136" s="1">
        <v>346</v>
      </c>
      <c r="D136" s="1">
        <v>293</v>
      </c>
      <c r="E136" s="1">
        <v>639</v>
      </c>
      <c r="G136" s="1">
        <v>2640.01</v>
      </c>
      <c r="H136" s="1">
        <v>2660</v>
      </c>
      <c r="I136" s="1">
        <v>107</v>
      </c>
      <c r="J136" s="1">
        <v>0</v>
      </c>
      <c r="K136" s="1">
        <v>107</v>
      </c>
    </row>
    <row r="137" spans="1:11" x14ac:dyDescent="0.25">
      <c r="A137" s="1">
        <v>2660.01</v>
      </c>
      <c r="B137" s="1">
        <v>2680</v>
      </c>
      <c r="C137" s="1">
        <v>349</v>
      </c>
      <c r="D137" s="1">
        <v>295</v>
      </c>
      <c r="E137" s="1">
        <v>644</v>
      </c>
      <c r="G137" s="1">
        <v>2660.01</v>
      </c>
      <c r="H137" s="1">
        <v>2680</v>
      </c>
      <c r="I137" s="1">
        <v>108</v>
      </c>
      <c r="J137" s="1">
        <v>0</v>
      </c>
      <c r="K137" s="1">
        <v>108</v>
      </c>
    </row>
    <row r="138" spans="1:11" x14ac:dyDescent="0.25">
      <c r="A138" s="1">
        <v>2680.01</v>
      </c>
      <c r="B138" s="1">
        <v>2700</v>
      </c>
      <c r="C138" s="1">
        <v>351</v>
      </c>
      <c r="D138" s="1">
        <v>297</v>
      </c>
      <c r="E138" s="1">
        <v>648</v>
      </c>
      <c r="G138" s="1">
        <v>2680.01</v>
      </c>
      <c r="H138" s="1">
        <v>2700</v>
      </c>
      <c r="I138" s="1">
        <v>108</v>
      </c>
      <c r="J138" s="1">
        <v>0</v>
      </c>
      <c r="K138" s="1">
        <v>108</v>
      </c>
    </row>
    <row r="139" spans="1:11" x14ac:dyDescent="0.25">
      <c r="A139" s="1">
        <v>2700.01</v>
      </c>
      <c r="B139" s="1">
        <v>2720</v>
      </c>
      <c r="C139" s="1">
        <v>354</v>
      </c>
      <c r="D139" s="1">
        <v>300</v>
      </c>
      <c r="E139" s="1">
        <v>654</v>
      </c>
      <c r="G139" s="1">
        <v>2700.01</v>
      </c>
      <c r="H139" s="1">
        <v>2720</v>
      </c>
      <c r="I139" s="1">
        <v>109</v>
      </c>
      <c r="J139" s="1">
        <v>0</v>
      </c>
      <c r="K139" s="1">
        <v>109</v>
      </c>
    </row>
    <row r="140" spans="1:11" x14ac:dyDescent="0.25">
      <c r="A140" s="1">
        <v>2720.01</v>
      </c>
      <c r="B140" s="1">
        <v>2740</v>
      </c>
      <c r="C140" s="1">
        <v>357</v>
      </c>
      <c r="D140" s="1">
        <v>302</v>
      </c>
      <c r="E140" s="1">
        <v>659</v>
      </c>
      <c r="G140" s="1">
        <v>2720.01</v>
      </c>
      <c r="H140" s="1">
        <v>2740</v>
      </c>
      <c r="I140" s="1">
        <v>110</v>
      </c>
      <c r="J140" s="1">
        <v>0</v>
      </c>
      <c r="K140" s="1">
        <v>110</v>
      </c>
    </row>
    <row r="141" spans="1:11" x14ac:dyDescent="0.25">
      <c r="A141" s="1">
        <v>2740.01</v>
      </c>
      <c r="B141" s="1">
        <v>2760</v>
      </c>
      <c r="C141" s="1">
        <v>359</v>
      </c>
      <c r="D141" s="1">
        <v>304</v>
      </c>
      <c r="E141" s="1">
        <v>663</v>
      </c>
      <c r="G141" s="1">
        <v>2740.01</v>
      </c>
      <c r="H141" s="1">
        <v>2760</v>
      </c>
      <c r="I141" s="1">
        <v>111</v>
      </c>
      <c r="J141" s="1">
        <v>0</v>
      </c>
      <c r="K141" s="1">
        <v>111</v>
      </c>
    </row>
    <row r="142" spans="1:11" x14ac:dyDescent="0.25">
      <c r="A142" s="1">
        <v>2760.01</v>
      </c>
      <c r="B142" s="1">
        <v>2780</v>
      </c>
      <c r="C142" s="1">
        <v>362</v>
      </c>
      <c r="D142" s="1">
        <v>306</v>
      </c>
      <c r="E142" s="1">
        <v>668</v>
      </c>
      <c r="G142" s="1">
        <v>2760.01</v>
      </c>
      <c r="H142" s="1">
        <v>2780</v>
      </c>
      <c r="I142" s="1">
        <v>112</v>
      </c>
      <c r="J142" s="1">
        <v>0</v>
      </c>
      <c r="K142" s="1">
        <v>112</v>
      </c>
    </row>
    <row r="143" spans="1:11" x14ac:dyDescent="0.25">
      <c r="A143" s="1">
        <v>2780.01</v>
      </c>
      <c r="B143" s="1">
        <v>2800</v>
      </c>
      <c r="C143" s="1">
        <v>364</v>
      </c>
      <c r="D143" s="1">
        <v>308</v>
      </c>
      <c r="E143" s="1">
        <v>672</v>
      </c>
      <c r="G143" s="1">
        <v>2780.01</v>
      </c>
      <c r="H143" s="1">
        <v>2800</v>
      </c>
      <c r="I143" s="1">
        <v>112</v>
      </c>
      <c r="J143" s="1">
        <v>0</v>
      </c>
      <c r="K143" s="1">
        <v>112</v>
      </c>
    </row>
    <row r="144" spans="1:11" x14ac:dyDescent="0.25">
      <c r="A144" s="1">
        <v>2800.01</v>
      </c>
      <c r="B144" s="1">
        <v>2820</v>
      </c>
      <c r="C144" s="1">
        <v>367</v>
      </c>
      <c r="D144" s="1">
        <v>311</v>
      </c>
      <c r="E144" s="1">
        <v>678</v>
      </c>
      <c r="G144" s="1">
        <v>2800.01</v>
      </c>
      <c r="H144" s="1">
        <v>2820</v>
      </c>
      <c r="I144" s="1">
        <v>113</v>
      </c>
      <c r="J144" s="1">
        <v>0</v>
      </c>
      <c r="K144" s="1">
        <v>113</v>
      </c>
    </row>
    <row r="145" spans="1:11" x14ac:dyDescent="0.25">
      <c r="A145" s="1">
        <v>2820.01</v>
      </c>
      <c r="B145" s="1">
        <v>2840</v>
      </c>
      <c r="C145" s="1">
        <v>370</v>
      </c>
      <c r="D145" s="1">
        <v>313</v>
      </c>
      <c r="E145" s="1">
        <v>683</v>
      </c>
      <c r="G145" s="1">
        <v>2820.01</v>
      </c>
      <c r="H145" s="1">
        <v>2840</v>
      </c>
      <c r="I145" s="1">
        <v>114</v>
      </c>
      <c r="J145" s="1">
        <v>0</v>
      </c>
      <c r="K145" s="1">
        <v>114</v>
      </c>
    </row>
    <row r="146" spans="1:11" x14ac:dyDescent="0.25">
      <c r="A146" s="1">
        <v>2840.01</v>
      </c>
      <c r="B146" s="1">
        <v>2860</v>
      </c>
      <c r="C146" s="1">
        <v>372</v>
      </c>
      <c r="D146" s="1">
        <v>315</v>
      </c>
      <c r="E146" s="1">
        <v>687</v>
      </c>
      <c r="G146" s="1">
        <v>2840.01</v>
      </c>
      <c r="H146" s="1">
        <v>2860</v>
      </c>
      <c r="I146" s="1">
        <v>115</v>
      </c>
      <c r="J146" s="1">
        <v>0</v>
      </c>
      <c r="K146" s="1">
        <v>115</v>
      </c>
    </row>
    <row r="147" spans="1:11" x14ac:dyDescent="0.25">
      <c r="A147" s="1">
        <v>2860.01</v>
      </c>
      <c r="B147" s="1">
        <v>2880</v>
      </c>
      <c r="C147" s="1">
        <v>375</v>
      </c>
      <c r="D147" s="1">
        <v>317</v>
      </c>
      <c r="E147" s="1">
        <v>692</v>
      </c>
      <c r="G147" s="1">
        <v>2860.01</v>
      </c>
      <c r="H147" s="1">
        <v>2880</v>
      </c>
      <c r="I147" s="1">
        <v>116</v>
      </c>
      <c r="J147" s="1">
        <v>0</v>
      </c>
      <c r="K147" s="1">
        <v>116</v>
      </c>
    </row>
    <row r="148" spans="1:11" x14ac:dyDescent="0.25">
      <c r="A148" s="1">
        <v>2880.01</v>
      </c>
      <c r="B148" s="1">
        <v>2900</v>
      </c>
      <c r="C148" s="1">
        <v>377</v>
      </c>
      <c r="D148" s="1">
        <v>319</v>
      </c>
      <c r="E148" s="1">
        <v>696</v>
      </c>
      <c r="G148" s="1">
        <v>2880.01</v>
      </c>
      <c r="H148" s="1">
        <v>2900</v>
      </c>
      <c r="I148" s="1">
        <v>116</v>
      </c>
      <c r="J148" s="1">
        <v>0</v>
      </c>
      <c r="K148" s="1">
        <v>116</v>
      </c>
    </row>
    <row r="149" spans="1:11" x14ac:dyDescent="0.25">
      <c r="A149" s="1">
        <v>2900.01</v>
      </c>
      <c r="B149" s="1">
        <v>2920</v>
      </c>
      <c r="C149" s="1">
        <v>380</v>
      </c>
      <c r="D149" s="1">
        <v>322</v>
      </c>
      <c r="E149" s="1">
        <v>702</v>
      </c>
      <c r="G149" s="1">
        <v>2900.01</v>
      </c>
      <c r="H149" s="1">
        <v>2920</v>
      </c>
      <c r="I149" s="1">
        <v>117</v>
      </c>
      <c r="J149" s="1">
        <v>0</v>
      </c>
      <c r="K149" s="1">
        <v>117</v>
      </c>
    </row>
    <row r="150" spans="1:11" x14ac:dyDescent="0.25">
      <c r="A150" s="1">
        <v>2920.01</v>
      </c>
      <c r="B150" s="1">
        <v>2940</v>
      </c>
      <c r="C150" s="1">
        <v>383</v>
      </c>
      <c r="D150" s="1">
        <v>324</v>
      </c>
      <c r="E150" s="1">
        <v>707</v>
      </c>
      <c r="G150" s="1">
        <v>2920.01</v>
      </c>
      <c r="H150" s="1">
        <v>2940</v>
      </c>
      <c r="I150" s="1">
        <v>118</v>
      </c>
      <c r="J150" s="1">
        <v>0</v>
      </c>
      <c r="K150" s="1">
        <v>118</v>
      </c>
    </row>
    <row r="151" spans="1:11" x14ac:dyDescent="0.25">
      <c r="A151" s="1">
        <v>2940.01</v>
      </c>
      <c r="B151" s="1">
        <v>2960</v>
      </c>
      <c r="C151" s="1">
        <v>385</v>
      </c>
      <c r="D151" s="1">
        <v>326</v>
      </c>
      <c r="E151" s="1">
        <v>711</v>
      </c>
      <c r="G151" s="1">
        <v>2940.01</v>
      </c>
      <c r="H151" s="1">
        <v>2960</v>
      </c>
      <c r="I151" s="1">
        <v>119</v>
      </c>
      <c r="J151" s="1">
        <v>0</v>
      </c>
      <c r="K151" s="1">
        <v>119</v>
      </c>
    </row>
    <row r="152" spans="1:11" x14ac:dyDescent="0.25">
      <c r="A152" s="1">
        <v>2960.01</v>
      </c>
      <c r="B152" s="1">
        <v>2980</v>
      </c>
      <c r="C152" s="1">
        <v>388</v>
      </c>
      <c r="D152" s="1">
        <v>328</v>
      </c>
      <c r="E152" s="1">
        <v>716</v>
      </c>
      <c r="G152" s="1">
        <v>2960.01</v>
      </c>
      <c r="H152" s="1">
        <v>2980</v>
      </c>
      <c r="I152" s="1">
        <v>120</v>
      </c>
      <c r="J152" s="1">
        <v>0</v>
      </c>
      <c r="K152" s="1">
        <v>120</v>
      </c>
    </row>
    <row r="153" spans="1:11" x14ac:dyDescent="0.25">
      <c r="A153" s="1">
        <v>2980.01</v>
      </c>
      <c r="B153" s="1">
        <v>3000</v>
      </c>
      <c r="C153" s="1">
        <v>390</v>
      </c>
      <c r="D153" s="1">
        <v>330</v>
      </c>
      <c r="E153" s="1">
        <v>720</v>
      </c>
      <c r="G153" s="1">
        <v>2980.01</v>
      </c>
      <c r="H153" s="1">
        <v>3000</v>
      </c>
      <c r="I153" s="1">
        <v>120</v>
      </c>
      <c r="J153" s="1">
        <v>0</v>
      </c>
      <c r="K153" s="1">
        <v>120</v>
      </c>
    </row>
    <row r="154" spans="1:11" x14ac:dyDescent="0.25">
      <c r="A154" s="1">
        <v>3000.01</v>
      </c>
      <c r="B154" s="1">
        <v>3020</v>
      </c>
      <c r="C154" s="1">
        <v>393</v>
      </c>
      <c r="D154" s="1">
        <v>333</v>
      </c>
      <c r="E154" s="1">
        <v>726</v>
      </c>
      <c r="G154" s="1">
        <v>3000.01</v>
      </c>
      <c r="H154" s="1">
        <v>3020</v>
      </c>
      <c r="I154" s="1">
        <v>121</v>
      </c>
      <c r="J154" s="1">
        <v>0</v>
      </c>
      <c r="K154" s="1">
        <v>121</v>
      </c>
    </row>
    <row r="155" spans="1:11" x14ac:dyDescent="0.25">
      <c r="A155" s="1">
        <v>3020.01</v>
      </c>
      <c r="B155" s="1">
        <v>3040</v>
      </c>
      <c r="C155" s="1">
        <v>396</v>
      </c>
      <c r="D155" s="1">
        <v>335</v>
      </c>
      <c r="E155" s="1">
        <v>731</v>
      </c>
      <c r="G155" s="1">
        <v>3020.01</v>
      </c>
      <c r="H155" s="1">
        <v>3040</v>
      </c>
      <c r="I155" s="1">
        <v>122</v>
      </c>
      <c r="J155" s="1">
        <v>0</v>
      </c>
      <c r="K155" s="1">
        <v>122</v>
      </c>
    </row>
    <row r="156" spans="1:11" x14ac:dyDescent="0.25">
      <c r="A156" s="1">
        <v>3040.01</v>
      </c>
      <c r="B156" s="1">
        <v>3060</v>
      </c>
      <c r="C156" s="1">
        <v>398</v>
      </c>
      <c r="D156" s="1">
        <v>337</v>
      </c>
      <c r="E156" s="1">
        <v>735</v>
      </c>
      <c r="G156" s="1">
        <v>3040.01</v>
      </c>
      <c r="H156" s="1">
        <v>3060</v>
      </c>
      <c r="I156" s="1">
        <v>123</v>
      </c>
      <c r="J156" s="1">
        <v>0</v>
      </c>
      <c r="K156" s="1">
        <v>123</v>
      </c>
    </row>
    <row r="157" spans="1:11" x14ac:dyDescent="0.25">
      <c r="A157" s="1">
        <v>3060.01</v>
      </c>
      <c r="B157" s="1">
        <v>3080</v>
      </c>
      <c r="C157" s="1">
        <v>401</v>
      </c>
      <c r="D157" s="1">
        <v>339</v>
      </c>
      <c r="E157" s="1">
        <v>740</v>
      </c>
      <c r="G157" s="1">
        <v>3060.01</v>
      </c>
      <c r="H157" s="1">
        <v>3080</v>
      </c>
      <c r="I157" s="1">
        <v>124</v>
      </c>
      <c r="J157" s="1">
        <v>0</v>
      </c>
      <c r="K157" s="1">
        <v>124</v>
      </c>
    </row>
    <row r="158" spans="1:11" x14ac:dyDescent="0.25">
      <c r="A158" s="1">
        <v>3080.01</v>
      </c>
      <c r="B158" s="1">
        <v>3100</v>
      </c>
      <c r="C158" s="1">
        <v>403</v>
      </c>
      <c r="D158" s="1">
        <v>341</v>
      </c>
      <c r="E158" s="1">
        <v>744</v>
      </c>
      <c r="G158" s="1">
        <v>3080.01</v>
      </c>
      <c r="H158" s="1">
        <v>3100</v>
      </c>
      <c r="I158" s="1">
        <v>124</v>
      </c>
      <c r="J158" s="1">
        <v>0</v>
      </c>
      <c r="K158" s="1">
        <v>124</v>
      </c>
    </row>
    <row r="159" spans="1:11" x14ac:dyDescent="0.25">
      <c r="A159" s="1">
        <v>3100.01</v>
      </c>
      <c r="B159" s="1">
        <v>3120</v>
      </c>
      <c r="C159" s="1">
        <v>406</v>
      </c>
      <c r="D159" s="1">
        <v>344</v>
      </c>
      <c r="E159" s="1">
        <v>750</v>
      </c>
      <c r="G159" s="1">
        <v>3100.01</v>
      </c>
      <c r="H159" s="1">
        <v>3120</v>
      </c>
      <c r="I159" s="1">
        <v>125</v>
      </c>
      <c r="J159" s="1">
        <v>0</v>
      </c>
      <c r="K159" s="1">
        <v>125</v>
      </c>
    </row>
    <row r="160" spans="1:11" x14ac:dyDescent="0.25">
      <c r="A160" s="1">
        <v>3120.01</v>
      </c>
      <c r="B160" s="1">
        <v>3140</v>
      </c>
      <c r="C160" s="1">
        <v>409</v>
      </c>
      <c r="D160" s="1">
        <v>346</v>
      </c>
      <c r="E160" s="1">
        <v>755</v>
      </c>
      <c r="G160" s="1">
        <v>3120.01</v>
      </c>
      <c r="H160" s="1">
        <v>3140</v>
      </c>
      <c r="I160" s="1">
        <v>126</v>
      </c>
      <c r="J160" s="1">
        <v>0</v>
      </c>
      <c r="K160" s="1">
        <v>126</v>
      </c>
    </row>
    <row r="161" spans="1:11" x14ac:dyDescent="0.25">
      <c r="A161" s="1">
        <v>3140.01</v>
      </c>
      <c r="B161" s="1">
        <v>3160</v>
      </c>
      <c r="C161" s="1">
        <v>411</v>
      </c>
      <c r="D161" s="1">
        <v>348</v>
      </c>
      <c r="E161" s="1">
        <v>759</v>
      </c>
      <c r="G161" s="1">
        <v>3140.01</v>
      </c>
      <c r="H161" s="1">
        <v>3160</v>
      </c>
      <c r="I161" s="1">
        <v>127</v>
      </c>
      <c r="J161" s="1">
        <v>0</v>
      </c>
      <c r="K161" s="1">
        <v>127</v>
      </c>
    </row>
    <row r="162" spans="1:11" x14ac:dyDescent="0.25">
      <c r="A162" s="1">
        <v>3160.01</v>
      </c>
      <c r="B162" s="1">
        <v>3180</v>
      </c>
      <c r="C162" s="1">
        <v>414</v>
      </c>
      <c r="D162" s="1">
        <v>350</v>
      </c>
      <c r="E162" s="1">
        <v>764</v>
      </c>
      <c r="G162" s="1">
        <v>3160.01</v>
      </c>
      <c r="H162" s="1">
        <v>3180</v>
      </c>
      <c r="I162" s="1">
        <v>128</v>
      </c>
      <c r="J162" s="1">
        <v>0</v>
      </c>
      <c r="K162" s="1">
        <v>128</v>
      </c>
    </row>
    <row r="163" spans="1:11" x14ac:dyDescent="0.25">
      <c r="A163" s="1">
        <v>3180.01</v>
      </c>
      <c r="B163" s="1">
        <v>3200</v>
      </c>
      <c r="C163" s="1">
        <v>416</v>
      </c>
      <c r="D163" s="1">
        <v>352</v>
      </c>
      <c r="E163" s="1">
        <v>768</v>
      </c>
      <c r="G163" s="1">
        <v>3180.01</v>
      </c>
      <c r="H163" s="1">
        <v>3200</v>
      </c>
      <c r="I163" s="1">
        <v>128</v>
      </c>
      <c r="J163" s="1">
        <v>0</v>
      </c>
      <c r="K163" s="1">
        <v>128</v>
      </c>
    </row>
    <row r="164" spans="1:11" x14ac:dyDescent="0.25">
      <c r="A164" s="1">
        <v>3200.01</v>
      </c>
      <c r="B164" s="1">
        <v>3220</v>
      </c>
      <c r="C164" s="1">
        <v>419</v>
      </c>
      <c r="D164" s="1">
        <v>355</v>
      </c>
      <c r="E164" s="1">
        <v>774</v>
      </c>
      <c r="G164" s="1">
        <v>3200.01</v>
      </c>
      <c r="H164" s="1">
        <v>3220</v>
      </c>
      <c r="I164" s="1">
        <v>129</v>
      </c>
      <c r="J164" s="1">
        <v>0</v>
      </c>
      <c r="K164" s="1">
        <v>129</v>
      </c>
    </row>
    <row r="165" spans="1:11" x14ac:dyDescent="0.25">
      <c r="A165" s="1">
        <v>3220.01</v>
      </c>
      <c r="B165" s="1">
        <v>3240</v>
      </c>
      <c r="C165" s="1">
        <v>422</v>
      </c>
      <c r="D165" s="1">
        <v>357</v>
      </c>
      <c r="E165" s="1">
        <v>779</v>
      </c>
      <c r="G165" s="1">
        <v>3220.01</v>
      </c>
      <c r="H165" s="1">
        <v>3240</v>
      </c>
      <c r="I165" s="1">
        <v>130</v>
      </c>
      <c r="J165" s="1">
        <v>0</v>
      </c>
      <c r="K165" s="1">
        <v>130</v>
      </c>
    </row>
    <row r="166" spans="1:11" x14ac:dyDescent="0.25">
      <c r="A166" s="1">
        <v>3240.01</v>
      </c>
      <c r="B166" s="1">
        <v>3260</v>
      </c>
      <c r="C166" s="1">
        <v>424</v>
      </c>
      <c r="D166" s="1">
        <v>359</v>
      </c>
      <c r="E166" s="1">
        <v>783</v>
      </c>
      <c r="G166" s="1">
        <v>3240.01</v>
      </c>
      <c r="H166" s="1">
        <v>3260</v>
      </c>
      <c r="I166" s="1">
        <v>131</v>
      </c>
      <c r="J166" s="1">
        <v>0</v>
      </c>
      <c r="K166" s="1">
        <v>131</v>
      </c>
    </row>
    <row r="167" spans="1:11" x14ac:dyDescent="0.25">
      <c r="A167" s="1">
        <v>3260.01</v>
      </c>
      <c r="B167" s="1">
        <v>3280</v>
      </c>
      <c r="C167" s="1">
        <v>427</v>
      </c>
      <c r="D167" s="1">
        <v>361</v>
      </c>
      <c r="E167" s="1">
        <v>788</v>
      </c>
      <c r="G167" s="1">
        <v>3260.01</v>
      </c>
      <c r="H167" s="1">
        <v>3280</v>
      </c>
      <c r="I167" s="1">
        <v>132</v>
      </c>
      <c r="J167" s="1">
        <v>0</v>
      </c>
      <c r="K167" s="1">
        <v>132</v>
      </c>
    </row>
    <row r="168" spans="1:11" x14ac:dyDescent="0.25">
      <c r="A168" s="1">
        <v>3280.01</v>
      </c>
      <c r="B168" s="1">
        <v>3300</v>
      </c>
      <c r="C168" s="1">
        <v>429</v>
      </c>
      <c r="D168" s="1">
        <v>363</v>
      </c>
      <c r="E168" s="1">
        <v>792</v>
      </c>
      <c r="G168" s="1">
        <v>3280.01</v>
      </c>
      <c r="H168" s="1">
        <v>3300</v>
      </c>
      <c r="I168" s="1">
        <v>132</v>
      </c>
      <c r="J168" s="1">
        <v>0</v>
      </c>
      <c r="K168" s="1">
        <v>132</v>
      </c>
    </row>
    <row r="169" spans="1:11" x14ac:dyDescent="0.25">
      <c r="A169" s="1">
        <v>3300.01</v>
      </c>
      <c r="B169" s="1">
        <v>3320</v>
      </c>
      <c r="C169" s="1">
        <v>432</v>
      </c>
      <c r="D169" s="1">
        <v>366</v>
      </c>
      <c r="E169" s="1">
        <v>798</v>
      </c>
      <c r="G169" s="1">
        <v>3300.01</v>
      </c>
      <c r="H169" s="1">
        <v>3320</v>
      </c>
      <c r="I169" s="1">
        <v>133</v>
      </c>
      <c r="J169" s="1">
        <v>0</v>
      </c>
      <c r="K169" s="1">
        <v>133</v>
      </c>
    </row>
    <row r="170" spans="1:11" x14ac:dyDescent="0.25">
      <c r="A170" s="1">
        <v>3320.01</v>
      </c>
      <c r="B170" s="1">
        <v>3340</v>
      </c>
      <c r="C170" s="1">
        <v>435</v>
      </c>
      <c r="D170" s="1">
        <v>368</v>
      </c>
      <c r="E170" s="1">
        <v>803</v>
      </c>
      <c r="G170" s="1">
        <v>3320.01</v>
      </c>
      <c r="H170" s="1">
        <v>3340</v>
      </c>
      <c r="I170" s="1">
        <v>134</v>
      </c>
      <c r="J170" s="1">
        <v>0</v>
      </c>
      <c r="K170" s="1">
        <v>134</v>
      </c>
    </row>
    <row r="171" spans="1:11" x14ac:dyDescent="0.25">
      <c r="A171" s="1">
        <v>3340.01</v>
      </c>
      <c r="B171" s="1">
        <v>3360</v>
      </c>
      <c r="C171" s="1">
        <v>437</v>
      </c>
      <c r="D171" s="1">
        <v>370</v>
      </c>
      <c r="E171" s="1">
        <v>807</v>
      </c>
      <c r="G171" s="1">
        <v>3340.01</v>
      </c>
      <c r="H171" s="1">
        <v>3360</v>
      </c>
      <c r="I171" s="1">
        <v>135</v>
      </c>
      <c r="J171" s="1">
        <v>0</v>
      </c>
      <c r="K171" s="1">
        <v>135</v>
      </c>
    </row>
    <row r="172" spans="1:11" x14ac:dyDescent="0.25">
      <c r="A172" s="1">
        <v>3360.01</v>
      </c>
      <c r="B172" s="1">
        <v>3380</v>
      </c>
      <c r="C172" s="1">
        <v>440</v>
      </c>
      <c r="D172" s="1">
        <v>372</v>
      </c>
      <c r="E172" s="1">
        <v>812</v>
      </c>
      <c r="G172" s="1">
        <v>3360.01</v>
      </c>
      <c r="H172" s="1">
        <v>3380</v>
      </c>
      <c r="I172" s="1">
        <v>136</v>
      </c>
      <c r="J172" s="1">
        <v>0</v>
      </c>
      <c r="K172" s="1">
        <v>136</v>
      </c>
    </row>
    <row r="173" spans="1:11" x14ac:dyDescent="0.25">
      <c r="A173" s="1">
        <v>3380.01</v>
      </c>
      <c r="B173" s="1">
        <v>3400</v>
      </c>
      <c r="C173" s="1">
        <v>442</v>
      </c>
      <c r="D173" s="1">
        <v>374</v>
      </c>
      <c r="E173" s="1">
        <v>816</v>
      </c>
      <c r="G173" s="1">
        <v>3380.01</v>
      </c>
      <c r="H173" s="1">
        <v>3400</v>
      </c>
      <c r="I173" s="1">
        <v>136</v>
      </c>
      <c r="J173" s="1">
        <v>0</v>
      </c>
      <c r="K173" s="1">
        <v>136</v>
      </c>
    </row>
    <row r="174" spans="1:11" x14ac:dyDescent="0.25">
      <c r="A174" s="1">
        <v>3400.01</v>
      </c>
      <c r="B174" s="1">
        <v>3420</v>
      </c>
      <c r="C174" s="1">
        <v>445</v>
      </c>
      <c r="D174" s="1">
        <v>377</v>
      </c>
      <c r="E174" s="1">
        <v>822</v>
      </c>
      <c r="G174" s="1">
        <v>3400.01</v>
      </c>
      <c r="H174" s="1">
        <v>3420</v>
      </c>
      <c r="I174" s="1">
        <v>137</v>
      </c>
      <c r="J174" s="1">
        <v>0</v>
      </c>
      <c r="K174" s="1">
        <v>137</v>
      </c>
    </row>
    <row r="175" spans="1:11" x14ac:dyDescent="0.25">
      <c r="A175" s="1">
        <v>3420.01</v>
      </c>
      <c r="B175" s="1">
        <v>3440</v>
      </c>
      <c r="C175" s="1">
        <v>448</v>
      </c>
      <c r="D175" s="1">
        <v>379</v>
      </c>
      <c r="E175" s="1">
        <v>827</v>
      </c>
      <c r="G175" s="1">
        <v>3420.01</v>
      </c>
      <c r="H175" s="1">
        <v>3440</v>
      </c>
      <c r="I175" s="1">
        <v>138</v>
      </c>
      <c r="J175" s="1">
        <v>0</v>
      </c>
      <c r="K175" s="1">
        <v>138</v>
      </c>
    </row>
    <row r="176" spans="1:11" x14ac:dyDescent="0.25">
      <c r="A176" s="1">
        <v>3440.01</v>
      </c>
      <c r="B176" s="1">
        <v>3460</v>
      </c>
      <c r="C176" s="1">
        <v>450</v>
      </c>
      <c r="D176" s="1">
        <v>381</v>
      </c>
      <c r="E176" s="1">
        <v>831</v>
      </c>
      <c r="G176" s="1">
        <v>3440.01</v>
      </c>
      <c r="H176" s="1">
        <v>3460</v>
      </c>
      <c r="I176" s="1">
        <v>139</v>
      </c>
      <c r="J176" s="1">
        <v>0</v>
      </c>
      <c r="K176" s="1">
        <v>139</v>
      </c>
    </row>
    <row r="177" spans="1:11" x14ac:dyDescent="0.25">
      <c r="A177" s="1">
        <v>3460.01</v>
      </c>
      <c r="B177" s="1">
        <v>3480</v>
      </c>
      <c r="C177" s="1">
        <v>453</v>
      </c>
      <c r="D177" s="1">
        <v>383</v>
      </c>
      <c r="E177" s="1">
        <v>836</v>
      </c>
      <c r="G177" s="1">
        <v>3460.01</v>
      </c>
      <c r="H177" s="1">
        <v>3480</v>
      </c>
      <c r="I177" s="1">
        <v>140</v>
      </c>
      <c r="J177" s="1">
        <v>0</v>
      </c>
      <c r="K177" s="1">
        <v>140</v>
      </c>
    </row>
    <row r="178" spans="1:11" x14ac:dyDescent="0.25">
      <c r="A178" s="1">
        <v>3480.01</v>
      </c>
      <c r="B178" s="1">
        <v>3500</v>
      </c>
      <c r="C178" s="1">
        <v>455</v>
      </c>
      <c r="D178" s="1">
        <v>385</v>
      </c>
      <c r="E178" s="1">
        <v>840</v>
      </c>
      <c r="G178" s="1">
        <v>3480.01</v>
      </c>
      <c r="H178" s="1">
        <v>3500</v>
      </c>
      <c r="I178" s="1">
        <v>140</v>
      </c>
      <c r="J178" s="1">
        <v>0</v>
      </c>
      <c r="K178" s="1">
        <v>140</v>
      </c>
    </row>
    <row r="179" spans="1:11" x14ac:dyDescent="0.25">
      <c r="A179" s="1">
        <v>3500.01</v>
      </c>
      <c r="B179" s="1">
        <v>3520</v>
      </c>
      <c r="C179" s="1">
        <v>458</v>
      </c>
      <c r="D179" s="1">
        <v>388</v>
      </c>
      <c r="E179" s="1">
        <v>846</v>
      </c>
      <c r="G179" s="1">
        <v>3500.01</v>
      </c>
      <c r="H179" s="1">
        <v>3520</v>
      </c>
      <c r="I179" s="1">
        <v>141</v>
      </c>
      <c r="J179" s="1">
        <v>0</v>
      </c>
      <c r="K179" s="1">
        <v>141</v>
      </c>
    </row>
    <row r="180" spans="1:11" x14ac:dyDescent="0.25">
      <c r="A180" s="1">
        <v>3520.01</v>
      </c>
      <c r="B180" s="1">
        <v>3540</v>
      </c>
      <c r="C180" s="1">
        <v>461</v>
      </c>
      <c r="D180" s="1">
        <v>390</v>
      </c>
      <c r="E180" s="1">
        <v>851</v>
      </c>
      <c r="G180" s="1">
        <v>3520.01</v>
      </c>
      <c r="H180" s="1">
        <v>3540</v>
      </c>
      <c r="I180" s="1">
        <v>142</v>
      </c>
      <c r="J180" s="1">
        <v>0</v>
      </c>
      <c r="K180" s="1">
        <v>142</v>
      </c>
    </row>
    <row r="181" spans="1:11" x14ac:dyDescent="0.25">
      <c r="A181" s="1">
        <v>3540.01</v>
      </c>
      <c r="B181" s="1">
        <v>3560</v>
      </c>
      <c r="C181" s="1">
        <v>463</v>
      </c>
      <c r="D181" s="1">
        <v>392</v>
      </c>
      <c r="E181" s="1">
        <v>855</v>
      </c>
      <c r="G181" s="1">
        <v>3540.01</v>
      </c>
      <c r="H181" s="1">
        <v>3560</v>
      </c>
      <c r="I181" s="1">
        <v>143</v>
      </c>
      <c r="J181" s="1">
        <v>0</v>
      </c>
      <c r="K181" s="1">
        <v>143</v>
      </c>
    </row>
    <row r="182" spans="1:11" x14ac:dyDescent="0.25">
      <c r="A182" s="1">
        <v>3560.01</v>
      </c>
      <c r="B182" s="1">
        <v>3580</v>
      </c>
      <c r="C182" s="1">
        <v>466</v>
      </c>
      <c r="D182" s="1">
        <v>394</v>
      </c>
      <c r="E182" s="1">
        <v>860</v>
      </c>
      <c r="G182" s="1">
        <v>3560.01</v>
      </c>
      <c r="H182" s="1">
        <v>3580</v>
      </c>
      <c r="I182" s="1">
        <v>144</v>
      </c>
      <c r="J182" s="1">
        <v>0</v>
      </c>
      <c r="K182" s="1">
        <v>144</v>
      </c>
    </row>
    <row r="183" spans="1:11" x14ac:dyDescent="0.25">
      <c r="A183" s="1">
        <v>3580.01</v>
      </c>
      <c r="B183" s="1">
        <v>3600</v>
      </c>
      <c r="C183" s="1">
        <v>468</v>
      </c>
      <c r="D183" s="1">
        <v>396</v>
      </c>
      <c r="E183" s="1">
        <v>864</v>
      </c>
      <c r="G183" s="1">
        <v>3580.01</v>
      </c>
      <c r="H183" s="1">
        <v>3600</v>
      </c>
      <c r="I183" s="1">
        <v>144</v>
      </c>
      <c r="J183" s="1">
        <v>0</v>
      </c>
      <c r="K183" s="1">
        <v>144</v>
      </c>
    </row>
    <row r="184" spans="1:11" x14ac:dyDescent="0.25">
      <c r="A184" s="1">
        <v>3600.01</v>
      </c>
      <c r="B184" s="1">
        <v>3620</v>
      </c>
      <c r="C184" s="1">
        <v>471</v>
      </c>
      <c r="D184" s="1">
        <v>399</v>
      </c>
      <c r="E184" s="1">
        <v>870</v>
      </c>
      <c r="G184" s="1">
        <v>3600.01</v>
      </c>
      <c r="H184" s="1">
        <v>3620</v>
      </c>
      <c r="I184" s="1">
        <v>145</v>
      </c>
      <c r="J184" s="1">
        <v>0</v>
      </c>
      <c r="K184" s="1">
        <v>145</v>
      </c>
    </row>
    <row r="185" spans="1:11" x14ac:dyDescent="0.25">
      <c r="A185" s="1">
        <v>3620.01</v>
      </c>
      <c r="B185" s="1">
        <v>3640</v>
      </c>
      <c r="C185" s="1">
        <v>474</v>
      </c>
      <c r="D185" s="1">
        <v>401</v>
      </c>
      <c r="E185" s="1">
        <v>875</v>
      </c>
      <c r="G185" s="1">
        <v>3620.01</v>
      </c>
      <c r="H185" s="1">
        <v>3640</v>
      </c>
      <c r="I185" s="1">
        <v>146</v>
      </c>
      <c r="J185" s="1">
        <v>0</v>
      </c>
      <c r="K185" s="1">
        <v>146</v>
      </c>
    </row>
    <row r="186" spans="1:11" x14ac:dyDescent="0.25">
      <c r="A186" s="1">
        <v>3640.01</v>
      </c>
      <c r="B186" s="1">
        <v>3660</v>
      </c>
      <c r="C186" s="1">
        <v>476</v>
      </c>
      <c r="D186" s="1">
        <v>403</v>
      </c>
      <c r="E186" s="1">
        <v>879</v>
      </c>
      <c r="G186" s="1">
        <v>3640.01</v>
      </c>
      <c r="H186" s="1">
        <v>3660</v>
      </c>
      <c r="I186" s="1">
        <v>147</v>
      </c>
      <c r="J186" s="1">
        <v>0</v>
      </c>
      <c r="K186" s="1">
        <v>147</v>
      </c>
    </row>
    <row r="187" spans="1:11" x14ac:dyDescent="0.25">
      <c r="A187" s="1">
        <v>3660.01</v>
      </c>
      <c r="B187" s="1">
        <v>3680</v>
      </c>
      <c r="C187" s="1">
        <v>479</v>
      </c>
      <c r="D187" s="1">
        <v>405</v>
      </c>
      <c r="E187" s="1">
        <v>884</v>
      </c>
      <c r="G187" s="1">
        <v>3660.01</v>
      </c>
      <c r="H187" s="1">
        <v>3680</v>
      </c>
      <c r="I187" s="1">
        <v>148</v>
      </c>
      <c r="J187" s="1">
        <v>0</v>
      </c>
      <c r="K187" s="1">
        <v>148</v>
      </c>
    </row>
    <row r="188" spans="1:11" x14ac:dyDescent="0.25">
      <c r="A188" s="1">
        <v>3680.01</v>
      </c>
      <c r="B188" s="1">
        <v>3700</v>
      </c>
      <c r="C188" s="1">
        <v>481</v>
      </c>
      <c r="D188" s="1">
        <v>407</v>
      </c>
      <c r="E188" s="1">
        <v>888</v>
      </c>
      <c r="G188" s="1">
        <v>3680.01</v>
      </c>
      <c r="H188" s="1">
        <v>3700</v>
      </c>
      <c r="I188" s="1">
        <v>148</v>
      </c>
      <c r="J188" s="1">
        <v>0</v>
      </c>
      <c r="K188" s="1">
        <v>148</v>
      </c>
    </row>
    <row r="189" spans="1:11" x14ac:dyDescent="0.25">
      <c r="A189" s="1">
        <v>3700.01</v>
      </c>
      <c r="B189" s="1">
        <v>3720</v>
      </c>
      <c r="C189" s="1">
        <v>484</v>
      </c>
      <c r="D189" s="1">
        <v>410</v>
      </c>
      <c r="E189" s="1">
        <v>894</v>
      </c>
      <c r="G189" s="1">
        <v>3700.01</v>
      </c>
      <c r="H189" s="1">
        <v>3720</v>
      </c>
      <c r="I189" s="1">
        <v>149</v>
      </c>
      <c r="J189" s="1">
        <v>0</v>
      </c>
      <c r="K189" s="1">
        <v>149</v>
      </c>
    </row>
    <row r="190" spans="1:11" x14ac:dyDescent="0.25">
      <c r="A190" s="1">
        <v>3720.01</v>
      </c>
      <c r="B190" s="1">
        <v>3740</v>
      </c>
      <c r="C190" s="1">
        <v>487</v>
      </c>
      <c r="D190" s="1">
        <v>412</v>
      </c>
      <c r="E190" s="1">
        <v>899</v>
      </c>
      <c r="G190" s="1">
        <v>3720.01</v>
      </c>
      <c r="H190" s="1">
        <v>3740</v>
      </c>
      <c r="I190" s="1">
        <v>150</v>
      </c>
      <c r="J190" s="1">
        <v>0</v>
      </c>
      <c r="K190" s="1">
        <v>150</v>
      </c>
    </row>
    <row r="191" spans="1:11" x14ac:dyDescent="0.25">
      <c r="A191" s="1">
        <v>3740.01</v>
      </c>
      <c r="B191" s="1">
        <v>3760</v>
      </c>
      <c r="C191" s="1">
        <v>489</v>
      </c>
      <c r="D191" s="1">
        <v>414</v>
      </c>
      <c r="E191" s="1">
        <v>903</v>
      </c>
      <c r="G191" s="1">
        <v>3740.01</v>
      </c>
      <c r="H191" s="1">
        <v>3760</v>
      </c>
      <c r="I191" s="1">
        <v>151</v>
      </c>
      <c r="J191" s="1">
        <v>0</v>
      </c>
      <c r="K191" s="1">
        <v>151</v>
      </c>
    </row>
    <row r="192" spans="1:11" x14ac:dyDescent="0.25">
      <c r="A192" s="1">
        <v>3760.01</v>
      </c>
      <c r="B192" s="1">
        <v>3780</v>
      </c>
      <c r="C192" s="1">
        <v>492</v>
      </c>
      <c r="D192" s="1">
        <v>416</v>
      </c>
      <c r="E192" s="1">
        <v>908</v>
      </c>
      <c r="G192" s="1">
        <v>3760.01</v>
      </c>
      <c r="H192" s="1">
        <v>3780</v>
      </c>
      <c r="I192" s="1">
        <v>152</v>
      </c>
      <c r="J192" s="1">
        <v>0</v>
      </c>
      <c r="K192" s="1">
        <v>152</v>
      </c>
    </row>
    <row r="193" spans="1:11" x14ac:dyDescent="0.25">
      <c r="A193" s="1">
        <v>3780.01</v>
      </c>
      <c r="B193" s="1">
        <v>3800</v>
      </c>
      <c r="C193" s="1">
        <v>494</v>
      </c>
      <c r="D193" s="1">
        <v>418</v>
      </c>
      <c r="E193" s="1">
        <v>912</v>
      </c>
      <c r="G193" s="1">
        <v>3780.01</v>
      </c>
      <c r="H193" s="1">
        <v>3800</v>
      </c>
      <c r="I193" s="1">
        <v>152</v>
      </c>
      <c r="J193" s="1">
        <v>0</v>
      </c>
      <c r="K193" s="1">
        <v>152</v>
      </c>
    </row>
    <row r="194" spans="1:11" x14ac:dyDescent="0.25">
      <c r="A194" s="1">
        <v>3800.01</v>
      </c>
      <c r="B194" s="1">
        <v>3820</v>
      </c>
      <c r="C194" s="1">
        <v>497</v>
      </c>
      <c r="D194" s="1">
        <v>421</v>
      </c>
      <c r="E194" s="1">
        <v>918</v>
      </c>
      <c r="G194" s="1">
        <v>3800.01</v>
      </c>
      <c r="H194" s="1">
        <v>3820</v>
      </c>
      <c r="I194" s="1">
        <v>153</v>
      </c>
      <c r="J194" s="1">
        <v>0</v>
      </c>
      <c r="K194" s="1">
        <v>153</v>
      </c>
    </row>
    <row r="195" spans="1:11" x14ac:dyDescent="0.25">
      <c r="A195" s="1">
        <v>3820.01</v>
      </c>
      <c r="B195" s="1">
        <v>3840</v>
      </c>
      <c r="C195" s="1">
        <v>500</v>
      </c>
      <c r="D195" s="1">
        <v>423</v>
      </c>
      <c r="E195" s="1">
        <v>923</v>
      </c>
      <c r="G195" s="1">
        <v>3820.01</v>
      </c>
      <c r="H195" s="1">
        <v>3840</v>
      </c>
      <c r="I195" s="1">
        <v>154</v>
      </c>
      <c r="J195" s="1">
        <v>0</v>
      </c>
      <c r="K195" s="1">
        <v>154</v>
      </c>
    </row>
    <row r="196" spans="1:11" x14ac:dyDescent="0.25">
      <c r="A196" s="1">
        <v>3840.01</v>
      </c>
      <c r="B196" s="1">
        <v>3860</v>
      </c>
      <c r="C196" s="1">
        <v>502</v>
      </c>
      <c r="D196" s="1">
        <v>425</v>
      </c>
      <c r="E196" s="1">
        <v>927</v>
      </c>
      <c r="G196" s="1">
        <v>3840.01</v>
      </c>
      <c r="H196" s="1">
        <v>3860</v>
      </c>
      <c r="I196" s="1">
        <v>155</v>
      </c>
      <c r="J196" s="1">
        <v>0</v>
      </c>
      <c r="K196" s="1">
        <v>155</v>
      </c>
    </row>
    <row r="197" spans="1:11" x14ac:dyDescent="0.25">
      <c r="A197" s="1">
        <v>3860.01</v>
      </c>
      <c r="B197" s="1">
        <v>3880</v>
      </c>
      <c r="C197" s="1">
        <v>505</v>
      </c>
      <c r="D197" s="1">
        <v>427</v>
      </c>
      <c r="E197" s="1">
        <v>932</v>
      </c>
      <c r="G197" s="1">
        <v>3860.01</v>
      </c>
      <c r="H197" s="1">
        <v>3880</v>
      </c>
      <c r="I197" s="1">
        <v>156</v>
      </c>
      <c r="J197" s="1">
        <v>0</v>
      </c>
      <c r="K197" s="1">
        <v>156</v>
      </c>
    </row>
    <row r="198" spans="1:11" x14ac:dyDescent="0.25">
      <c r="A198" s="1">
        <v>3880.01</v>
      </c>
      <c r="B198" s="1">
        <v>3900</v>
      </c>
      <c r="C198" s="1">
        <v>507</v>
      </c>
      <c r="D198" s="1">
        <v>429</v>
      </c>
      <c r="E198" s="1">
        <v>936</v>
      </c>
      <c r="G198" s="1">
        <v>3880.01</v>
      </c>
      <c r="H198" s="1">
        <v>3900</v>
      </c>
      <c r="I198" s="1">
        <v>156</v>
      </c>
      <c r="J198" s="1">
        <v>0</v>
      </c>
      <c r="K198" s="1">
        <v>156</v>
      </c>
    </row>
    <row r="199" spans="1:11" x14ac:dyDescent="0.25">
      <c r="A199" s="1">
        <v>3900.01</v>
      </c>
      <c r="B199" s="1">
        <v>3920</v>
      </c>
      <c r="C199" s="1">
        <v>510</v>
      </c>
      <c r="D199" s="1">
        <v>432</v>
      </c>
      <c r="E199" s="1">
        <v>942</v>
      </c>
      <c r="G199" s="1">
        <v>3900.01</v>
      </c>
      <c r="H199" s="1">
        <v>3920</v>
      </c>
      <c r="I199" s="1">
        <v>157</v>
      </c>
      <c r="J199" s="1">
        <v>0</v>
      </c>
      <c r="K199" s="1">
        <v>157</v>
      </c>
    </row>
    <row r="200" spans="1:11" x14ac:dyDescent="0.25">
      <c r="A200" s="1">
        <v>3920.01</v>
      </c>
      <c r="B200" s="1">
        <v>3940</v>
      </c>
      <c r="C200" s="1">
        <v>513</v>
      </c>
      <c r="D200" s="1">
        <v>434</v>
      </c>
      <c r="E200" s="1">
        <v>947</v>
      </c>
      <c r="G200" s="1">
        <v>3920.01</v>
      </c>
      <c r="H200" s="1">
        <v>3940</v>
      </c>
      <c r="I200" s="1">
        <v>158</v>
      </c>
      <c r="J200" s="1">
        <v>0</v>
      </c>
      <c r="K200" s="1">
        <v>158</v>
      </c>
    </row>
    <row r="201" spans="1:11" x14ac:dyDescent="0.25">
      <c r="A201" s="1">
        <v>3940.01</v>
      </c>
      <c r="B201" s="1">
        <v>3960</v>
      </c>
      <c r="C201" s="1">
        <v>515</v>
      </c>
      <c r="D201" s="1">
        <v>436</v>
      </c>
      <c r="E201" s="1">
        <v>951</v>
      </c>
      <c r="G201" s="1">
        <v>3940.01</v>
      </c>
      <c r="H201" s="1">
        <v>3960</v>
      </c>
      <c r="I201" s="1">
        <v>159</v>
      </c>
      <c r="J201" s="1">
        <v>0</v>
      </c>
      <c r="K201" s="1">
        <v>159</v>
      </c>
    </row>
    <row r="202" spans="1:11" x14ac:dyDescent="0.25">
      <c r="A202" s="1">
        <v>3960.01</v>
      </c>
      <c r="B202" s="1">
        <v>3980</v>
      </c>
      <c r="C202" s="1">
        <v>518</v>
      </c>
      <c r="D202" s="1">
        <v>438</v>
      </c>
      <c r="E202" s="1">
        <v>956</v>
      </c>
      <c r="G202" s="1">
        <v>3960.01</v>
      </c>
      <c r="H202" s="1">
        <v>3980</v>
      </c>
      <c r="I202" s="1">
        <v>160</v>
      </c>
      <c r="J202" s="1">
        <v>0</v>
      </c>
      <c r="K202" s="1">
        <v>160</v>
      </c>
    </row>
    <row r="203" spans="1:11" x14ac:dyDescent="0.25">
      <c r="A203" s="1">
        <v>3980.01</v>
      </c>
      <c r="B203" s="1">
        <v>4000</v>
      </c>
      <c r="C203" s="1">
        <v>520</v>
      </c>
      <c r="D203" s="1">
        <v>440</v>
      </c>
      <c r="E203" s="1">
        <v>960</v>
      </c>
      <c r="G203" s="1">
        <v>3980.01</v>
      </c>
      <c r="H203" s="1">
        <v>4000</v>
      </c>
      <c r="I203" s="1">
        <v>160</v>
      </c>
      <c r="J203" s="1">
        <v>0</v>
      </c>
      <c r="K203" s="1">
        <v>160</v>
      </c>
    </row>
    <row r="204" spans="1:11" x14ac:dyDescent="0.25">
      <c r="A204" s="1">
        <v>4000.01</v>
      </c>
      <c r="B204" s="1">
        <v>4020</v>
      </c>
      <c r="C204" s="1">
        <v>523</v>
      </c>
      <c r="D204" s="1">
        <v>443</v>
      </c>
      <c r="E204" s="1">
        <v>966</v>
      </c>
      <c r="G204" s="1">
        <v>4000.01</v>
      </c>
      <c r="H204" s="1">
        <v>4020</v>
      </c>
      <c r="I204" s="1">
        <v>161</v>
      </c>
      <c r="J204" s="1">
        <v>0</v>
      </c>
      <c r="K204" s="1">
        <v>161</v>
      </c>
    </row>
    <row r="205" spans="1:11" x14ac:dyDescent="0.25">
      <c r="A205" s="1">
        <v>4020.01</v>
      </c>
      <c r="B205" s="1">
        <v>4040</v>
      </c>
      <c r="C205" s="1">
        <v>526</v>
      </c>
      <c r="D205" s="1">
        <v>445</v>
      </c>
      <c r="E205" s="1">
        <v>971</v>
      </c>
      <c r="G205" s="1">
        <v>4020.01</v>
      </c>
      <c r="H205" s="1">
        <v>4040</v>
      </c>
      <c r="I205" s="1">
        <v>162</v>
      </c>
      <c r="J205" s="1">
        <v>0</v>
      </c>
      <c r="K205" s="1">
        <v>162</v>
      </c>
    </row>
    <row r="206" spans="1:11" x14ac:dyDescent="0.25">
      <c r="A206" s="1">
        <v>4040.01</v>
      </c>
      <c r="B206" s="1">
        <v>4060</v>
      </c>
      <c r="C206" s="1">
        <v>528</v>
      </c>
      <c r="D206" s="1">
        <v>447</v>
      </c>
      <c r="E206" s="1">
        <v>975</v>
      </c>
      <c r="G206" s="1">
        <v>4040.01</v>
      </c>
      <c r="H206" s="1">
        <v>4060</v>
      </c>
      <c r="I206" s="1">
        <v>163</v>
      </c>
      <c r="J206" s="1">
        <v>0</v>
      </c>
      <c r="K206" s="1">
        <v>163</v>
      </c>
    </row>
    <row r="207" spans="1:11" x14ac:dyDescent="0.25">
      <c r="A207" s="1">
        <v>4060.01</v>
      </c>
      <c r="B207" s="1">
        <v>4080</v>
      </c>
      <c r="C207" s="1">
        <v>531</v>
      </c>
      <c r="D207" s="1">
        <v>449</v>
      </c>
      <c r="E207" s="1">
        <v>980</v>
      </c>
      <c r="G207" s="1">
        <v>4060.01</v>
      </c>
      <c r="H207" s="1">
        <v>4080</v>
      </c>
      <c r="I207" s="1">
        <v>164</v>
      </c>
      <c r="J207" s="1">
        <v>0</v>
      </c>
      <c r="K207" s="1">
        <v>164</v>
      </c>
    </row>
    <row r="208" spans="1:11" x14ac:dyDescent="0.25">
      <c r="A208" s="1">
        <v>4080.01</v>
      </c>
      <c r="B208" s="1">
        <v>4100</v>
      </c>
      <c r="C208" s="1">
        <v>533</v>
      </c>
      <c r="D208" s="1">
        <v>451</v>
      </c>
      <c r="E208" s="1">
        <v>984</v>
      </c>
      <c r="G208" s="1">
        <v>4080.01</v>
      </c>
      <c r="H208" s="1">
        <v>4100</v>
      </c>
      <c r="I208" s="1">
        <v>164</v>
      </c>
      <c r="J208" s="1">
        <v>0</v>
      </c>
      <c r="K208" s="1">
        <v>164</v>
      </c>
    </row>
    <row r="209" spans="1:11" x14ac:dyDescent="0.25">
      <c r="A209" s="1">
        <v>4100.01</v>
      </c>
      <c r="B209" s="1">
        <v>4120</v>
      </c>
      <c r="C209" s="1">
        <v>536</v>
      </c>
      <c r="D209" s="1">
        <v>454</v>
      </c>
      <c r="E209" s="1">
        <v>990</v>
      </c>
      <c r="G209" s="1">
        <v>4100.01</v>
      </c>
      <c r="H209" s="1">
        <v>4120</v>
      </c>
      <c r="I209" s="1">
        <v>165</v>
      </c>
      <c r="J209" s="1">
        <v>0</v>
      </c>
      <c r="K209" s="1">
        <v>165</v>
      </c>
    </row>
    <row r="210" spans="1:11" x14ac:dyDescent="0.25">
      <c r="A210" s="1">
        <v>4120.01</v>
      </c>
      <c r="B210" s="1">
        <v>4140</v>
      </c>
      <c r="C210" s="1">
        <v>539</v>
      </c>
      <c r="D210" s="1">
        <v>456</v>
      </c>
      <c r="E210" s="1">
        <v>995</v>
      </c>
      <c r="G210" s="1">
        <v>4120.01</v>
      </c>
      <c r="H210" s="1">
        <v>4140</v>
      </c>
      <c r="I210" s="1">
        <v>166</v>
      </c>
      <c r="J210" s="1">
        <v>0</v>
      </c>
      <c r="K210" s="1">
        <v>166</v>
      </c>
    </row>
    <row r="211" spans="1:11" x14ac:dyDescent="0.25">
      <c r="A211" s="1">
        <v>4140.01</v>
      </c>
      <c r="B211" s="1">
        <v>4160</v>
      </c>
      <c r="C211" s="1">
        <v>541</v>
      </c>
      <c r="D211" s="1">
        <v>458</v>
      </c>
      <c r="E211" s="1">
        <v>999</v>
      </c>
      <c r="G211" s="1">
        <v>4140.01</v>
      </c>
      <c r="H211" s="1">
        <v>4160</v>
      </c>
      <c r="I211" s="1">
        <v>167</v>
      </c>
      <c r="J211" s="1">
        <v>0</v>
      </c>
      <c r="K211" s="1">
        <v>167</v>
      </c>
    </row>
    <row r="212" spans="1:11" x14ac:dyDescent="0.25">
      <c r="A212" s="1">
        <v>4160.01</v>
      </c>
      <c r="B212" s="1">
        <v>4180</v>
      </c>
      <c r="C212" s="1">
        <v>544</v>
      </c>
      <c r="D212" s="1">
        <v>460</v>
      </c>
      <c r="E212" s="1">
        <v>1004</v>
      </c>
      <c r="G212" s="1">
        <v>4160.01</v>
      </c>
      <c r="H212" s="1">
        <v>4180</v>
      </c>
      <c r="I212" s="1">
        <v>168</v>
      </c>
      <c r="J212" s="1">
        <v>0</v>
      </c>
      <c r="K212" s="1">
        <v>168</v>
      </c>
    </row>
    <row r="213" spans="1:11" x14ac:dyDescent="0.25">
      <c r="A213" s="1">
        <v>4180.01</v>
      </c>
      <c r="B213" s="1">
        <v>4200</v>
      </c>
      <c r="C213" s="1">
        <v>546</v>
      </c>
      <c r="D213" s="1">
        <v>462</v>
      </c>
      <c r="E213" s="1">
        <v>1008</v>
      </c>
      <c r="G213" s="1">
        <v>4180.01</v>
      </c>
      <c r="H213" s="1">
        <v>4200</v>
      </c>
      <c r="I213" s="1">
        <v>168</v>
      </c>
      <c r="J213" s="1">
        <v>0</v>
      </c>
      <c r="K213" s="1">
        <v>168</v>
      </c>
    </row>
    <row r="214" spans="1:11" x14ac:dyDescent="0.25">
      <c r="A214" s="1">
        <v>4200.01</v>
      </c>
      <c r="B214" s="1">
        <v>4220</v>
      </c>
      <c r="C214" s="1">
        <v>549</v>
      </c>
      <c r="D214" s="1">
        <v>465</v>
      </c>
      <c r="E214" s="1">
        <v>1014</v>
      </c>
      <c r="G214" s="1">
        <v>4200.01</v>
      </c>
      <c r="H214" s="1">
        <v>4220</v>
      </c>
      <c r="I214" s="1">
        <v>169</v>
      </c>
      <c r="J214" s="1">
        <v>0</v>
      </c>
      <c r="K214" s="1">
        <v>169</v>
      </c>
    </row>
    <row r="215" spans="1:11" x14ac:dyDescent="0.25">
      <c r="A215" s="1">
        <v>4220.01</v>
      </c>
      <c r="B215" s="1">
        <v>4240</v>
      </c>
      <c r="C215" s="1">
        <v>552</v>
      </c>
      <c r="D215" s="1">
        <v>467</v>
      </c>
      <c r="E215" s="1">
        <v>1019</v>
      </c>
      <c r="G215" s="1">
        <v>4220.01</v>
      </c>
      <c r="H215" s="1">
        <v>4240</v>
      </c>
      <c r="I215" s="1">
        <v>170</v>
      </c>
      <c r="J215" s="1">
        <v>0</v>
      </c>
      <c r="K215" s="1">
        <v>170</v>
      </c>
    </row>
    <row r="216" spans="1:11" x14ac:dyDescent="0.25">
      <c r="A216" s="1">
        <v>4240.01</v>
      </c>
      <c r="B216" s="1">
        <v>4260</v>
      </c>
      <c r="C216" s="1">
        <v>554</v>
      </c>
      <c r="D216" s="1">
        <v>469</v>
      </c>
      <c r="E216" s="1">
        <v>1023</v>
      </c>
      <c r="G216" s="1">
        <v>4240.01</v>
      </c>
      <c r="H216" s="1">
        <v>4260</v>
      </c>
      <c r="I216" s="1">
        <v>171</v>
      </c>
      <c r="J216" s="1">
        <v>0</v>
      </c>
      <c r="K216" s="1">
        <v>171</v>
      </c>
    </row>
    <row r="217" spans="1:11" x14ac:dyDescent="0.25">
      <c r="A217" s="1">
        <v>4260.01</v>
      </c>
      <c r="B217" s="1">
        <v>4280</v>
      </c>
      <c r="C217" s="1">
        <v>557</v>
      </c>
      <c r="D217" s="1">
        <v>471</v>
      </c>
      <c r="E217" s="1">
        <v>1028</v>
      </c>
      <c r="G217" s="1">
        <v>4260.01</v>
      </c>
      <c r="H217" s="1">
        <v>4280</v>
      </c>
      <c r="I217" s="1">
        <v>172</v>
      </c>
      <c r="J217" s="1">
        <v>0</v>
      </c>
      <c r="K217" s="1">
        <v>172</v>
      </c>
    </row>
    <row r="218" spans="1:11" x14ac:dyDescent="0.25">
      <c r="A218" s="1">
        <v>4280.01</v>
      </c>
      <c r="B218" s="1">
        <v>4300</v>
      </c>
      <c r="C218" s="1">
        <v>559</v>
      </c>
      <c r="D218" s="1">
        <v>473</v>
      </c>
      <c r="E218" s="1">
        <v>1032</v>
      </c>
      <c r="G218" s="1">
        <v>4280.01</v>
      </c>
      <c r="H218" s="1">
        <v>4300</v>
      </c>
      <c r="I218" s="1">
        <v>172</v>
      </c>
      <c r="J218" s="1">
        <v>0</v>
      </c>
      <c r="K218" s="1">
        <v>172</v>
      </c>
    </row>
    <row r="219" spans="1:11" x14ac:dyDescent="0.25">
      <c r="A219" s="1">
        <v>4300.01</v>
      </c>
      <c r="B219" s="1">
        <v>4320</v>
      </c>
      <c r="C219" s="1">
        <v>562</v>
      </c>
      <c r="D219" s="1">
        <v>476</v>
      </c>
      <c r="E219" s="1">
        <v>1038</v>
      </c>
      <c r="G219" s="1">
        <v>4300.01</v>
      </c>
      <c r="H219" s="1">
        <v>4320</v>
      </c>
      <c r="I219" s="1">
        <v>173</v>
      </c>
      <c r="J219" s="1">
        <v>0</v>
      </c>
      <c r="K219" s="1">
        <v>173</v>
      </c>
    </row>
    <row r="220" spans="1:11" x14ac:dyDescent="0.25">
      <c r="A220" s="1">
        <v>4320.01</v>
      </c>
      <c r="B220" s="1">
        <v>4340</v>
      </c>
      <c r="C220" s="1">
        <v>565</v>
      </c>
      <c r="D220" s="1">
        <v>478</v>
      </c>
      <c r="E220" s="1">
        <v>1043</v>
      </c>
      <c r="G220" s="1">
        <v>4320.01</v>
      </c>
      <c r="H220" s="1">
        <v>4340</v>
      </c>
      <c r="I220" s="1">
        <v>174</v>
      </c>
      <c r="J220" s="1">
        <v>0</v>
      </c>
      <c r="K220" s="1">
        <v>174</v>
      </c>
    </row>
    <row r="221" spans="1:11" x14ac:dyDescent="0.25">
      <c r="A221" s="1">
        <v>4340.01</v>
      </c>
      <c r="B221" s="1">
        <v>4360</v>
      </c>
      <c r="C221" s="1">
        <v>567</v>
      </c>
      <c r="D221" s="1">
        <v>480</v>
      </c>
      <c r="E221" s="1">
        <v>1047</v>
      </c>
      <c r="G221" s="1">
        <v>4340.01</v>
      </c>
      <c r="H221" s="1">
        <v>4360</v>
      </c>
      <c r="I221" s="1">
        <v>175</v>
      </c>
      <c r="J221" s="1">
        <v>0</v>
      </c>
      <c r="K221" s="1">
        <v>175</v>
      </c>
    </row>
    <row r="222" spans="1:11" x14ac:dyDescent="0.25">
      <c r="A222" s="1">
        <v>4360.01</v>
      </c>
      <c r="B222" s="1">
        <v>4380</v>
      </c>
      <c r="C222" s="1">
        <v>570</v>
      </c>
      <c r="D222" s="1">
        <v>482</v>
      </c>
      <c r="E222" s="1">
        <v>1052</v>
      </c>
      <c r="G222" s="1">
        <v>4360.01</v>
      </c>
      <c r="H222" s="1">
        <v>4380</v>
      </c>
      <c r="I222" s="1">
        <v>176</v>
      </c>
      <c r="J222" s="1">
        <v>0</v>
      </c>
      <c r="K222" s="1">
        <v>176</v>
      </c>
    </row>
    <row r="223" spans="1:11" x14ac:dyDescent="0.25">
      <c r="A223" s="1">
        <v>4380.01</v>
      </c>
      <c r="B223" s="1">
        <v>4400</v>
      </c>
      <c r="C223" s="1">
        <v>572</v>
      </c>
      <c r="D223" s="1">
        <v>484</v>
      </c>
      <c r="E223" s="1">
        <v>1056</v>
      </c>
      <c r="G223" s="1">
        <v>4380.01</v>
      </c>
      <c r="H223" s="1">
        <v>4400</v>
      </c>
      <c r="I223" s="1">
        <v>176</v>
      </c>
      <c r="J223" s="1">
        <v>0</v>
      </c>
      <c r="K223" s="1">
        <v>176</v>
      </c>
    </row>
    <row r="224" spans="1:11" x14ac:dyDescent="0.25">
      <c r="A224" s="1">
        <v>4400.01</v>
      </c>
      <c r="B224" s="1">
        <v>4420</v>
      </c>
      <c r="C224" s="1">
        <v>575</v>
      </c>
      <c r="D224" s="1">
        <v>487</v>
      </c>
      <c r="E224" s="1">
        <v>1062</v>
      </c>
      <c r="G224" s="1">
        <v>4400.01</v>
      </c>
      <c r="H224" s="1">
        <v>4420</v>
      </c>
      <c r="I224" s="1">
        <v>177</v>
      </c>
      <c r="J224" s="1">
        <v>0</v>
      </c>
      <c r="K224" s="1">
        <v>177</v>
      </c>
    </row>
    <row r="225" spans="1:11" x14ac:dyDescent="0.25">
      <c r="A225" s="1">
        <v>4420.01</v>
      </c>
      <c r="B225" s="1">
        <v>4440</v>
      </c>
      <c r="C225" s="1">
        <v>578</v>
      </c>
      <c r="D225" s="1">
        <v>489</v>
      </c>
      <c r="E225" s="1">
        <v>1067</v>
      </c>
      <c r="G225" s="1">
        <v>4420.01</v>
      </c>
      <c r="H225" s="1">
        <v>4440</v>
      </c>
      <c r="I225" s="1">
        <v>178</v>
      </c>
      <c r="J225" s="1">
        <v>0</v>
      </c>
      <c r="K225" s="1">
        <v>178</v>
      </c>
    </row>
    <row r="226" spans="1:11" x14ac:dyDescent="0.25">
      <c r="A226" s="1">
        <v>4440.01</v>
      </c>
      <c r="B226" s="1">
        <v>4460</v>
      </c>
      <c r="C226" s="1">
        <v>580</v>
      </c>
      <c r="D226" s="1">
        <v>491</v>
      </c>
      <c r="E226" s="1">
        <v>1071</v>
      </c>
      <c r="G226" s="1">
        <v>4440.01</v>
      </c>
      <c r="H226" s="1">
        <v>4460</v>
      </c>
      <c r="I226" s="1">
        <v>179</v>
      </c>
      <c r="J226" s="1">
        <v>0</v>
      </c>
      <c r="K226" s="1">
        <v>179</v>
      </c>
    </row>
    <row r="227" spans="1:11" x14ac:dyDescent="0.25">
      <c r="A227" s="1">
        <v>4460.01</v>
      </c>
      <c r="B227" s="1">
        <v>4480</v>
      </c>
      <c r="C227" s="1">
        <v>583</v>
      </c>
      <c r="D227" s="1">
        <v>493</v>
      </c>
      <c r="E227" s="1">
        <v>1076</v>
      </c>
      <c r="G227" s="1">
        <v>4460.01</v>
      </c>
      <c r="H227" s="1">
        <v>4480</v>
      </c>
      <c r="I227" s="1">
        <v>180</v>
      </c>
      <c r="J227" s="1">
        <v>0</v>
      </c>
      <c r="K227" s="1">
        <v>180</v>
      </c>
    </row>
    <row r="228" spans="1:11" x14ac:dyDescent="0.25">
      <c r="A228" s="1">
        <v>4480.01</v>
      </c>
      <c r="B228" s="1">
        <v>4500</v>
      </c>
      <c r="C228" s="1">
        <v>585</v>
      </c>
      <c r="D228" s="1">
        <v>495</v>
      </c>
      <c r="E228" s="1">
        <v>1080</v>
      </c>
      <c r="G228" s="1">
        <v>4480.01</v>
      </c>
      <c r="H228" s="1">
        <v>4500</v>
      </c>
      <c r="I228" s="1">
        <v>180</v>
      </c>
      <c r="J228" s="1">
        <v>0</v>
      </c>
      <c r="K228" s="1">
        <v>180</v>
      </c>
    </row>
    <row r="229" spans="1:11" x14ac:dyDescent="0.25">
      <c r="A229" s="1">
        <v>4500.01</v>
      </c>
      <c r="B229" s="1">
        <v>4520</v>
      </c>
      <c r="C229" s="1">
        <v>588</v>
      </c>
      <c r="D229" s="1">
        <v>498</v>
      </c>
      <c r="E229" s="1">
        <v>1086</v>
      </c>
      <c r="G229" s="1">
        <v>4500.01</v>
      </c>
      <c r="H229" s="1">
        <v>4520</v>
      </c>
      <c r="I229" s="1">
        <v>181</v>
      </c>
      <c r="J229" s="1">
        <v>0</v>
      </c>
      <c r="K229" s="1">
        <v>181</v>
      </c>
    </row>
    <row r="230" spans="1:11" x14ac:dyDescent="0.25">
      <c r="A230" s="1">
        <v>4520.01</v>
      </c>
      <c r="B230" s="1">
        <v>4540</v>
      </c>
      <c r="C230" s="1">
        <v>591</v>
      </c>
      <c r="D230" s="1">
        <v>500</v>
      </c>
      <c r="E230" s="1">
        <v>1091</v>
      </c>
      <c r="G230" s="1">
        <v>4520.01</v>
      </c>
      <c r="H230" s="1">
        <v>4540</v>
      </c>
      <c r="I230" s="1">
        <v>182</v>
      </c>
      <c r="J230" s="1">
        <v>0</v>
      </c>
      <c r="K230" s="1">
        <v>182</v>
      </c>
    </row>
    <row r="231" spans="1:11" x14ac:dyDescent="0.25">
      <c r="A231" s="1">
        <v>4540.01</v>
      </c>
      <c r="B231" s="1">
        <v>4560</v>
      </c>
      <c r="C231" s="1">
        <v>593</v>
      </c>
      <c r="D231" s="1">
        <v>502</v>
      </c>
      <c r="E231" s="1">
        <v>1095</v>
      </c>
      <c r="G231" s="1">
        <v>4540.01</v>
      </c>
      <c r="H231" s="1">
        <v>4560</v>
      </c>
      <c r="I231" s="1">
        <v>183</v>
      </c>
      <c r="J231" s="1">
        <v>0</v>
      </c>
      <c r="K231" s="1">
        <v>183</v>
      </c>
    </row>
    <row r="232" spans="1:11" x14ac:dyDescent="0.25">
      <c r="A232" s="1">
        <v>4560.01</v>
      </c>
      <c r="B232" s="1">
        <v>4580</v>
      </c>
      <c r="C232" s="1">
        <v>596</v>
      </c>
      <c r="D232" s="1">
        <v>504</v>
      </c>
      <c r="E232" s="1">
        <v>1100</v>
      </c>
      <c r="G232" s="1">
        <v>4560.01</v>
      </c>
      <c r="H232" s="1">
        <v>4580</v>
      </c>
      <c r="I232" s="1">
        <v>184</v>
      </c>
      <c r="J232" s="1">
        <v>0</v>
      </c>
      <c r="K232" s="1">
        <v>184</v>
      </c>
    </row>
    <row r="233" spans="1:11" x14ac:dyDescent="0.25">
      <c r="A233" s="1">
        <v>4580.01</v>
      </c>
      <c r="B233" s="1">
        <v>4600</v>
      </c>
      <c r="C233" s="1">
        <v>598</v>
      </c>
      <c r="D233" s="1">
        <v>506</v>
      </c>
      <c r="E233" s="1">
        <v>1104</v>
      </c>
      <c r="G233" s="1">
        <v>4580.01</v>
      </c>
      <c r="H233" s="1">
        <v>4600</v>
      </c>
      <c r="I233" s="1">
        <v>184</v>
      </c>
      <c r="J233" s="1">
        <v>0</v>
      </c>
      <c r="K233" s="1">
        <v>184</v>
      </c>
    </row>
    <row r="234" spans="1:11" x14ac:dyDescent="0.25">
      <c r="A234" s="1">
        <v>4600.01</v>
      </c>
      <c r="B234" s="1">
        <v>4620</v>
      </c>
      <c r="C234" s="1">
        <v>601</v>
      </c>
      <c r="D234" s="1">
        <v>509</v>
      </c>
      <c r="E234" s="1">
        <v>1110</v>
      </c>
      <c r="G234" s="1">
        <v>4600.01</v>
      </c>
      <c r="H234" s="1">
        <v>4620</v>
      </c>
      <c r="I234" s="1">
        <v>185</v>
      </c>
      <c r="J234" s="1">
        <v>0</v>
      </c>
      <c r="K234" s="1">
        <v>185</v>
      </c>
    </row>
    <row r="235" spans="1:11" x14ac:dyDescent="0.25">
      <c r="A235" s="1">
        <v>4620.01</v>
      </c>
      <c r="B235" s="1">
        <v>4640</v>
      </c>
      <c r="C235" s="1">
        <v>604</v>
      </c>
      <c r="D235" s="1">
        <v>511</v>
      </c>
      <c r="E235" s="1">
        <v>1115</v>
      </c>
      <c r="G235" s="1">
        <v>4620.01</v>
      </c>
      <c r="H235" s="1">
        <v>4640</v>
      </c>
      <c r="I235" s="1">
        <v>186</v>
      </c>
      <c r="J235" s="1">
        <v>0</v>
      </c>
      <c r="K235" s="1">
        <v>186</v>
      </c>
    </row>
    <row r="236" spans="1:11" x14ac:dyDescent="0.25">
      <c r="A236" s="1">
        <v>4640.01</v>
      </c>
      <c r="B236" s="1">
        <v>4660</v>
      </c>
      <c r="C236" s="1">
        <v>606</v>
      </c>
      <c r="D236" s="1">
        <v>513</v>
      </c>
      <c r="E236" s="1">
        <v>1119</v>
      </c>
      <c r="G236" s="1">
        <v>4640.01</v>
      </c>
      <c r="H236" s="1">
        <v>4660</v>
      </c>
      <c r="I236" s="1">
        <v>187</v>
      </c>
      <c r="J236" s="1">
        <v>0</v>
      </c>
      <c r="K236" s="1">
        <v>187</v>
      </c>
    </row>
    <row r="237" spans="1:11" x14ac:dyDescent="0.25">
      <c r="A237" s="1">
        <v>4660.01</v>
      </c>
      <c r="B237" s="1">
        <v>4680</v>
      </c>
      <c r="C237" s="1">
        <v>609</v>
      </c>
      <c r="D237" s="1">
        <v>515</v>
      </c>
      <c r="E237" s="1">
        <v>1124</v>
      </c>
      <c r="G237" s="1">
        <v>4660.01</v>
      </c>
      <c r="H237" s="1">
        <v>4680</v>
      </c>
      <c r="I237" s="1">
        <v>188</v>
      </c>
      <c r="J237" s="1">
        <v>0</v>
      </c>
      <c r="K237" s="1">
        <v>188</v>
      </c>
    </row>
    <row r="238" spans="1:11" x14ac:dyDescent="0.25">
      <c r="A238" s="1">
        <v>4680.01</v>
      </c>
      <c r="B238" s="1">
        <v>4700</v>
      </c>
      <c r="C238" s="1">
        <v>611</v>
      </c>
      <c r="D238" s="1">
        <v>517</v>
      </c>
      <c r="E238" s="1">
        <v>1128</v>
      </c>
      <c r="G238" s="1">
        <v>4680.01</v>
      </c>
      <c r="H238" s="1">
        <v>4700</v>
      </c>
      <c r="I238" s="1">
        <v>188</v>
      </c>
      <c r="J238" s="1">
        <v>0</v>
      </c>
      <c r="K238" s="1">
        <v>188</v>
      </c>
    </row>
    <row r="239" spans="1:11" x14ac:dyDescent="0.25">
      <c r="A239" s="1">
        <v>4700.01</v>
      </c>
      <c r="B239" s="1">
        <v>4720</v>
      </c>
      <c r="C239" s="1">
        <v>614</v>
      </c>
      <c r="D239" s="1">
        <v>520</v>
      </c>
      <c r="E239" s="1">
        <v>1134</v>
      </c>
      <c r="G239" s="1">
        <v>4700.01</v>
      </c>
      <c r="H239" s="1">
        <v>4720</v>
      </c>
      <c r="I239" s="1">
        <v>189</v>
      </c>
      <c r="J239" s="1">
        <v>0</v>
      </c>
      <c r="K239" s="1">
        <v>189</v>
      </c>
    </row>
    <row r="240" spans="1:11" x14ac:dyDescent="0.25">
      <c r="A240" s="1">
        <v>4720.01</v>
      </c>
      <c r="B240" s="1">
        <v>4740</v>
      </c>
      <c r="C240" s="1">
        <v>617</v>
      </c>
      <c r="D240" s="1">
        <v>522</v>
      </c>
      <c r="E240" s="1">
        <v>1139</v>
      </c>
      <c r="G240" s="1">
        <v>4720.01</v>
      </c>
      <c r="H240" s="1">
        <v>4740</v>
      </c>
      <c r="I240" s="1">
        <v>190</v>
      </c>
      <c r="J240" s="1">
        <v>0</v>
      </c>
      <c r="K240" s="1">
        <v>190</v>
      </c>
    </row>
    <row r="241" spans="1:11" x14ac:dyDescent="0.25">
      <c r="A241" s="1">
        <v>4740.01</v>
      </c>
      <c r="B241" s="1">
        <v>4760</v>
      </c>
      <c r="C241" s="1">
        <v>619</v>
      </c>
      <c r="D241" s="1">
        <v>524</v>
      </c>
      <c r="E241" s="1">
        <v>1143</v>
      </c>
      <c r="G241" s="1">
        <v>4740.01</v>
      </c>
      <c r="H241" s="1">
        <v>4760</v>
      </c>
      <c r="I241" s="1">
        <v>191</v>
      </c>
      <c r="J241" s="1">
        <v>0</v>
      </c>
      <c r="K241" s="1">
        <v>191</v>
      </c>
    </row>
    <row r="242" spans="1:11" x14ac:dyDescent="0.25">
      <c r="A242" s="1">
        <v>4760.01</v>
      </c>
      <c r="B242" s="1">
        <v>4780</v>
      </c>
      <c r="C242" s="1">
        <v>622</v>
      </c>
      <c r="D242" s="1">
        <v>526</v>
      </c>
      <c r="E242" s="1">
        <v>1148</v>
      </c>
      <c r="G242" s="1">
        <v>4760.01</v>
      </c>
      <c r="H242" s="1">
        <v>4780</v>
      </c>
      <c r="I242" s="1">
        <v>192</v>
      </c>
      <c r="J242" s="1">
        <v>0</v>
      </c>
      <c r="K242" s="1">
        <v>192</v>
      </c>
    </row>
    <row r="243" spans="1:11" x14ac:dyDescent="0.25">
      <c r="A243" s="1">
        <v>4780.01</v>
      </c>
      <c r="B243" s="1">
        <v>4800</v>
      </c>
      <c r="C243" s="1">
        <v>624</v>
      </c>
      <c r="D243" s="1">
        <v>528</v>
      </c>
      <c r="E243" s="1">
        <v>1152</v>
      </c>
      <c r="G243" s="1">
        <v>4780.01</v>
      </c>
      <c r="H243" s="1">
        <v>4800</v>
      </c>
      <c r="I243" s="1">
        <v>192</v>
      </c>
      <c r="J243" s="1">
        <v>0</v>
      </c>
      <c r="K243" s="1">
        <v>192</v>
      </c>
    </row>
    <row r="244" spans="1:11" x14ac:dyDescent="0.25">
      <c r="A244" s="1">
        <v>4800.01</v>
      </c>
      <c r="B244" s="1">
        <v>4820</v>
      </c>
      <c r="C244" s="1">
        <v>627</v>
      </c>
      <c r="D244" s="1">
        <v>531</v>
      </c>
      <c r="E244" s="1">
        <v>1158</v>
      </c>
      <c r="G244" s="1">
        <v>4800.01</v>
      </c>
      <c r="H244" s="1">
        <v>4820</v>
      </c>
      <c r="I244" s="1">
        <v>193</v>
      </c>
      <c r="J244" s="1">
        <v>0</v>
      </c>
      <c r="K244" s="1">
        <v>193</v>
      </c>
    </row>
    <row r="245" spans="1:11" x14ac:dyDescent="0.25">
      <c r="A245" s="1">
        <v>4820.01</v>
      </c>
      <c r="B245" s="1">
        <v>4840</v>
      </c>
      <c r="C245" s="1">
        <v>630</v>
      </c>
      <c r="D245" s="1">
        <v>533</v>
      </c>
      <c r="E245" s="1">
        <v>1163</v>
      </c>
      <c r="G245" s="1">
        <v>4820.01</v>
      </c>
      <c r="H245" s="1">
        <v>4840</v>
      </c>
      <c r="I245" s="1">
        <v>194</v>
      </c>
      <c r="J245" s="1">
        <v>0</v>
      </c>
      <c r="K245" s="1">
        <v>194</v>
      </c>
    </row>
    <row r="246" spans="1:11" x14ac:dyDescent="0.25">
      <c r="A246" s="1">
        <v>4840.01</v>
      </c>
      <c r="B246" s="1">
        <v>4860</v>
      </c>
      <c r="C246" s="1">
        <v>632</v>
      </c>
      <c r="D246" s="1">
        <v>535</v>
      </c>
      <c r="E246" s="1">
        <v>1167</v>
      </c>
      <c r="G246" s="1">
        <v>4840.01</v>
      </c>
      <c r="H246" s="1">
        <v>4860</v>
      </c>
      <c r="I246" s="1">
        <v>195</v>
      </c>
      <c r="J246" s="1">
        <v>0</v>
      </c>
      <c r="K246" s="1">
        <v>195</v>
      </c>
    </row>
    <row r="247" spans="1:11" x14ac:dyDescent="0.25">
      <c r="A247" s="1">
        <v>4860.01</v>
      </c>
      <c r="B247" s="1">
        <v>4880</v>
      </c>
      <c r="C247" s="1">
        <v>635</v>
      </c>
      <c r="D247" s="1">
        <v>537</v>
      </c>
      <c r="E247" s="1">
        <v>1172</v>
      </c>
      <c r="G247" s="1">
        <v>4860.01</v>
      </c>
      <c r="H247" s="1">
        <v>4880</v>
      </c>
      <c r="I247" s="1">
        <v>196</v>
      </c>
      <c r="J247" s="1">
        <v>0</v>
      </c>
      <c r="K247" s="1">
        <v>196</v>
      </c>
    </row>
    <row r="248" spans="1:11" x14ac:dyDescent="0.25">
      <c r="A248" s="1">
        <v>4880.01</v>
      </c>
      <c r="B248" s="1">
        <v>4900</v>
      </c>
      <c r="C248" s="1">
        <v>637</v>
      </c>
      <c r="D248" s="1">
        <v>539</v>
      </c>
      <c r="E248" s="1">
        <v>1176</v>
      </c>
      <c r="G248" s="1">
        <v>4880.01</v>
      </c>
      <c r="H248" s="1">
        <v>4900</v>
      </c>
      <c r="I248" s="1">
        <v>196</v>
      </c>
      <c r="J248" s="1">
        <v>0</v>
      </c>
      <c r="K248" s="1">
        <v>196</v>
      </c>
    </row>
    <row r="249" spans="1:11" x14ac:dyDescent="0.25">
      <c r="A249" s="1">
        <v>4900.01</v>
      </c>
      <c r="B249" s="1">
        <v>4920</v>
      </c>
      <c r="C249" s="1">
        <v>640</v>
      </c>
      <c r="D249" s="1">
        <v>542</v>
      </c>
      <c r="E249" s="1">
        <v>1182</v>
      </c>
      <c r="G249" s="1">
        <v>4900.01</v>
      </c>
      <c r="H249" s="1">
        <v>4920</v>
      </c>
      <c r="I249" s="1">
        <v>197</v>
      </c>
      <c r="J249" s="1">
        <v>0</v>
      </c>
      <c r="K249" s="1">
        <v>197</v>
      </c>
    </row>
    <row r="250" spans="1:11" x14ac:dyDescent="0.25">
      <c r="A250" s="1">
        <v>4920.01</v>
      </c>
      <c r="B250" s="1">
        <v>4940</v>
      </c>
      <c r="C250" s="1">
        <v>643</v>
      </c>
      <c r="D250" s="1">
        <v>544</v>
      </c>
      <c r="E250" s="1">
        <v>1187</v>
      </c>
      <c r="G250" s="1">
        <v>4920.01</v>
      </c>
      <c r="H250" s="1">
        <v>4940</v>
      </c>
      <c r="I250" s="1">
        <v>198</v>
      </c>
      <c r="J250" s="1">
        <v>0</v>
      </c>
      <c r="K250" s="1">
        <v>198</v>
      </c>
    </row>
    <row r="251" spans="1:11" x14ac:dyDescent="0.25">
      <c r="A251" s="1">
        <v>4940.01</v>
      </c>
      <c r="B251" s="1">
        <v>4960</v>
      </c>
      <c r="C251" s="1">
        <v>645</v>
      </c>
      <c r="D251" s="1">
        <v>546</v>
      </c>
      <c r="E251" s="1">
        <v>1191</v>
      </c>
      <c r="G251" s="1">
        <v>4940.01</v>
      </c>
      <c r="H251" s="1">
        <v>4960</v>
      </c>
      <c r="I251" s="1">
        <v>199</v>
      </c>
      <c r="J251" s="1">
        <v>0</v>
      </c>
      <c r="K251" s="1">
        <v>199</v>
      </c>
    </row>
    <row r="252" spans="1:11" x14ac:dyDescent="0.25">
      <c r="A252" s="1">
        <v>4960.01</v>
      </c>
      <c r="B252" s="1">
        <v>4980</v>
      </c>
      <c r="C252" s="1">
        <v>648</v>
      </c>
      <c r="D252" s="1">
        <v>548</v>
      </c>
      <c r="E252" s="1">
        <v>1196</v>
      </c>
      <c r="G252" s="1">
        <v>4960.01</v>
      </c>
      <c r="H252" s="1">
        <v>4980</v>
      </c>
      <c r="I252" s="1">
        <v>200</v>
      </c>
      <c r="J252" s="1">
        <v>0</v>
      </c>
      <c r="K252" s="1">
        <v>200</v>
      </c>
    </row>
    <row r="253" spans="1:11" x14ac:dyDescent="0.25">
      <c r="A253" s="1">
        <v>4980.01</v>
      </c>
      <c r="B253" s="1">
        <v>5000</v>
      </c>
      <c r="C253" s="1">
        <v>650</v>
      </c>
      <c r="D253" s="1">
        <v>550</v>
      </c>
      <c r="E253" s="1">
        <v>1200</v>
      </c>
      <c r="G253" s="1">
        <v>4980.01</v>
      </c>
      <c r="H253" s="1">
        <v>5000</v>
      </c>
      <c r="I253" s="1">
        <v>200</v>
      </c>
      <c r="J253" s="1">
        <v>0</v>
      </c>
      <c r="K253" s="1">
        <v>200</v>
      </c>
    </row>
    <row r="254" spans="1:11" x14ac:dyDescent="0.25">
      <c r="A254" s="1">
        <v>5000.01</v>
      </c>
      <c r="B254" s="1">
        <v>5100</v>
      </c>
      <c r="C254" s="1">
        <v>612</v>
      </c>
      <c r="D254" s="1">
        <v>561</v>
      </c>
      <c r="E254" s="1">
        <v>1173</v>
      </c>
      <c r="G254" s="1">
        <v>5000.01</v>
      </c>
      <c r="H254" s="1">
        <v>5100</v>
      </c>
      <c r="I254" s="1">
        <v>204</v>
      </c>
      <c r="J254" s="1">
        <v>0</v>
      </c>
      <c r="K254" s="1">
        <v>204</v>
      </c>
    </row>
    <row r="255" spans="1:11" x14ac:dyDescent="0.25">
      <c r="A255" s="1">
        <v>5100.01</v>
      </c>
      <c r="B255" s="1">
        <v>5200</v>
      </c>
      <c r="C255" s="1">
        <v>624</v>
      </c>
      <c r="D255" s="1">
        <v>572</v>
      </c>
      <c r="E255" s="1">
        <v>1196</v>
      </c>
      <c r="G255" s="1">
        <v>5100.01</v>
      </c>
      <c r="H255" s="1">
        <v>5200</v>
      </c>
      <c r="I255" s="1">
        <v>208</v>
      </c>
      <c r="J255" s="1">
        <v>0</v>
      </c>
      <c r="K255" s="1">
        <v>208</v>
      </c>
    </row>
    <row r="256" spans="1:11" x14ac:dyDescent="0.25">
      <c r="A256" s="1">
        <v>5200.01</v>
      </c>
      <c r="B256" s="1">
        <v>5300</v>
      </c>
      <c r="C256" s="1">
        <v>636</v>
      </c>
      <c r="D256" s="1">
        <v>583</v>
      </c>
      <c r="E256" s="1">
        <v>1219</v>
      </c>
      <c r="G256" s="1">
        <v>5200.01</v>
      </c>
      <c r="H256" s="1">
        <v>5300</v>
      </c>
      <c r="I256" s="1">
        <v>212</v>
      </c>
      <c r="J256" s="1">
        <v>0</v>
      </c>
      <c r="K256" s="1">
        <v>212</v>
      </c>
    </row>
    <row r="257" spans="1:11" x14ac:dyDescent="0.25">
      <c r="A257" s="1">
        <v>5300.01</v>
      </c>
      <c r="B257" s="1">
        <v>5400</v>
      </c>
      <c r="C257" s="1">
        <v>648</v>
      </c>
      <c r="D257" s="1">
        <v>594</v>
      </c>
      <c r="E257" s="1">
        <v>1242</v>
      </c>
      <c r="G257" s="1">
        <v>5300.01</v>
      </c>
      <c r="H257" s="1">
        <v>5400</v>
      </c>
      <c r="I257" s="1">
        <v>216</v>
      </c>
      <c r="J257" s="1">
        <v>0</v>
      </c>
      <c r="K257" s="1">
        <v>216</v>
      </c>
    </row>
    <row r="258" spans="1:11" x14ac:dyDescent="0.25">
      <c r="A258" s="1">
        <v>5400.01</v>
      </c>
      <c r="B258" s="1">
        <v>5500</v>
      </c>
      <c r="C258" s="1">
        <v>660</v>
      </c>
      <c r="D258" s="1">
        <v>605</v>
      </c>
      <c r="E258" s="1">
        <v>1265</v>
      </c>
      <c r="G258" s="1">
        <v>5400.01</v>
      </c>
      <c r="H258" s="1">
        <v>5500</v>
      </c>
      <c r="I258" s="1">
        <v>220</v>
      </c>
      <c r="J258" s="1">
        <v>0</v>
      </c>
      <c r="K258" s="1">
        <v>220</v>
      </c>
    </row>
    <row r="259" spans="1:11" x14ac:dyDescent="0.25">
      <c r="A259" s="1">
        <v>5500.01</v>
      </c>
      <c r="B259" s="1">
        <v>5600</v>
      </c>
      <c r="C259" s="1">
        <v>672</v>
      </c>
      <c r="D259" s="1">
        <v>616</v>
      </c>
      <c r="E259" s="1">
        <v>1288</v>
      </c>
      <c r="G259" s="1">
        <v>5500.01</v>
      </c>
      <c r="H259" s="1">
        <v>5600</v>
      </c>
      <c r="I259" s="1">
        <v>224</v>
      </c>
      <c r="J259" s="1">
        <v>0</v>
      </c>
      <c r="K259" s="1">
        <v>224</v>
      </c>
    </row>
    <row r="260" spans="1:11" x14ac:dyDescent="0.25">
      <c r="A260" s="1">
        <v>5600.01</v>
      </c>
      <c r="B260" s="1">
        <v>5700</v>
      </c>
      <c r="C260" s="1">
        <v>684</v>
      </c>
      <c r="D260" s="1">
        <v>627</v>
      </c>
      <c r="E260" s="1">
        <v>1311</v>
      </c>
      <c r="G260" s="1">
        <v>5600.01</v>
      </c>
      <c r="H260" s="1">
        <v>5700</v>
      </c>
      <c r="I260" s="1">
        <v>228</v>
      </c>
      <c r="J260" s="1">
        <v>0</v>
      </c>
      <c r="K260" s="1">
        <v>228</v>
      </c>
    </row>
    <row r="261" spans="1:11" x14ac:dyDescent="0.25">
      <c r="A261" s="1">
        <v>5700.01</v>
      </c>
      <c r="B261" s="1">
        <v>5800</v>
      </c>
      <c r="C261" s="1">
        <v>696</v>
      </c>
      <c r="D261" s="1">
        <v>638</v>
      </c>
      <c r="E261" s="1">
        <v>1334</v>
      </c>
      <c r="G261" s="1">
        <v>5700.01</v>
      </c>
      <c r="H261" s="1">
        <v>5800</v>
      </c>
      <c r="I261" s="1">
        <v>232</v>
      </c>
      <c r="J261" s="1">
        <v>0</v>
      </c>
      <c r="K261" s="1">
        <v>232</v>
      </c>
    </row>
    <row r="262" spans="1:11" x14ac:dyDescent="0.25">
      <c r="A262" s="1">
        <v>5800.01</v>
      </c>
      <c r="B262" s="1">
        <v>5900</v>
      </c>
      <c r="C262" s="1">
        <v>708</v>
      </c>
      <c r="D262" s="1">
        <v>649</v>
      </c>
      <c r="E262" s="1">
        <v>1357</v>
      </c>
      <c r="G262" s="1">
        <v>5800.01</v>
      </c>
      <c r="H262" s="1">
        <v>5900</v>
      </c>
      <c r="I262" s="1">
        <v>236</v>
      </c>
      <c r="J262" s="1">
        <v>0</v>
      </c>
      <c r="K262" s="1">
        <v>236</v>
      </c>
    </row>
    <row r="263" spans="1:11" x14ac:dyDescent="0.25">
      <c r="A263" s="1">
        <v>5900.01</v>
      </c>
      <c r="B263" s="1">
        <v>6000</v>
      </c>
      <c r="C263" s="1">
        <v>720</v>
      </c>
      <c r="D263" s="1">
        <v>660</v>
      </c>
      <c r="E263" s="1">
        <v>1380</v>
      </c>
      <c r="G263" s="1">
        <v>5900.01</v>
      </c>
      <c r="H263" s="1">
        <v>6000</v>
      </c>
      <c r="I263" s="1">
        <v>240</v>
      </c>
      <c r="J263" s="1">
        <v>0</v>
      </c>
      <c r="K263" s="1">
        <v>240</v>
      </c>
    </row>
    <row r="264" spans="1:11" x14ac:dyDescent="0.25">
      <c r="A264" s="1">
        <v>6000.01</v>
      </c>
      <c r="B264" s="1">
        <v>6100</v>
      </c>
      <c r="C264" s="1">
        <v>732</v>
      </c>
      <c r="D264" s="1">
        <v>671</v>
      </c>
      <c r="E264" s="1">
        <v>1403</v>
      </c>
      <c r="G264" s="1">
        <v>6000.01</v>
      </c>
      <c r="H264" s="1">
        <v>6100</v>
      </c>
      <c r="I264" s="1">
        <v>244</v>
      </c>
      <c r="J264" s="1">
        <v>0</v>
      </c>
      <c r="K264" s="1">
        <v>244</v>
      </c>
    </row>
    <row r="265" spans="1:11" x14ac:dyDescent="0.25">
      <c r="A265" s="1">
        <v>6100.01</v>
      </c>
      <c r="B265" s="1">
        <v>6200</v>
      </c>
      <c r="C265" s="1">
        <v>744</v>
      </c>
      <c r="D265" s="1">
        <v>682</v>
      </c>
      <c r="E265" s="1">
        <v>1426</v>
      </c>
      <c r="G265" s="1">
        <v>6100.01</v>
      </c>
      <c r="H265" s="1">
        <v>6200</v>
      </c>
      <c r="I265" s="1">
        <v>248</v>
      </c>
      <c r="J265" s="1">
        <v>0</v>
      </c>
      <c r="K265" s="1">
        <v>248</v>
      </c>
    </row>
    <row r="266" spans="1:11" x14ac:dyDescent="0.25">
      <c r="A266" s="1">
        <v>6200.01</v>
      </c>
      <c r="B266" s="1">
        <v>6300</v>
      </c>
      <c r="C266" s="1">
        <v>756</v>
      </c>
      <c r="D266" s="1">
        <v>693</v>
      </c>
      <c r="E266" s="1">
        <v>1449</v>
      </c>
      <c r="G266" s="1">
        <v>6200.01</v>
      </c>
      <c r="H266" s="1">
        <v>6300</v>
      </c>
      <c r="I266" s="1">
        <v>252</v>
      </c>
      <c r="J266" s="1">
        <v>0</v>
      </c>
      <c r="K266" s="1">
        <v>252</v>
      </c>
    </row>
    <row r="267" spans="1:11" x14ac:dyDescent="0.25">
      <c r="A267" s="1">
        <v>6300.01</v>
      </c>
      <c r="B267" s="1">
        <v>6400</v>
      </c>
      <c r="C267" s="1">
        <v>768</v>
      </c>
      <c r="D267" s="1">
        <v>704</v>
      </c>
      <c r="E267" s="1">
        <v>1472</v>
      </c>
      <c r="G267" s="1">
        <v>6300.01</v>
      </c>
      <c r="H267" s="1">
        <v>6400</v>
      </c>
      <c r="I267" s="1">
        <v>256</v>
      </c>
      <c r="J267" s="1">
        <v>0</v>
      </c>
      <c r="K267" s="1">
        <v>256</v>
      </c>
    </row>
    <row r="268" spans="1:11" x14ac:dyDescent="0.25">
      <c r="A268" s="1">
        <v>6400.01</v>
      </c>
      <c r="B268" s="1">
        <v>6500</v>
      </c>
      <c r="C268" s="1">
        <v>780</v>
      </c>
      <c r="D268" s="1">
        <v>715</v>
      </c>
      <c r="E268" s="1">
        <v>1495</v>
      </c>
      <c r="G268" s="1">
        <v>6400.01</v>
      </c>
      <c r="H268" s="1">
        <v>6500</v>
      </c>
      <c r="I268" s="1">
        <v>260</v>
      </c>
      <c r="J268" s="1">
        <v>0</v>
      </c>
      <c r="K268" s="1">
        <v>260</v>
      </c>
    </row>
    <row r="269" spans="1:11" x14ac:dyDescent="0.25">
      <c r="A269" s="1">
        <v>6500.01</v>
      </c>
      <c r="B269" s="1">
        <v>6600</v>
      </c>
      <c r="C269" s="1">
        <v>792</v>
      </c>
      <c r="D269" s="1">
        <v>726</v>
      </c>
      <c r="E269" s="1">
        <v>1518</v>
      </c>
      <c r="G269" s="1">
        <v>6500.01</v>
      </c>
      <c r="H269" s="1">
        <v>6600</v>
      </c>
      <c r="I269" s="1">
        <v>264</v>
      </c>
      <c r="J269" s="1">
        <v>0</v>
      </c>
      <c r="K269" s="1">
        <v>264</v>
      </c>
    </row>
    <row r="270" spans="1:11" x14ac:dyDescent="0.25">
      <c r="A270" s="1">
        <v>6600.01</v>
      </c>
      <c r="B270" s="1">
        <v>6700</v>
      </c>
      <c r="C270" s="1">
        <v>804</v>
      </c>
      <c r="D270" s="1">
        <v>737</v>
      </c>
      <c r="E270" s="1">
        <v>1541</v>
      </c>
      <c r="G270" s="1">
        <v>6600.01</v>
      </c>
      <c r="H270" s="1">
        <v>6700</v>
      </c>
      <c r="I270" s="1">
        <v>268</v>
      </c>
      <c r="J270" s="1">
        <v>0</v>
      </c>
      <c r="K270" s="1">
        <v>268</v>
      </c>
    </row>
    <row r="271" spans="1:11" x14ac:dyDescent="0.25">
      <c r="A271" s="1">
        <v>6700.01</v>
      </c>
      <c r="B271" s="1">
        <v>6800</v>
      </c>
      <c r="C271" s="1">
        <v>816</v>
      </c>
      <c r="D271" s="1">
        <v>748</v>
      </c>
      <c r="E271" s="1">
        <v>1564</v>
      </c>
      <c r="G271" s="1">
        <v>6700.01</v>
      </c>
      <c r="H271" s="1">
        <v>6800</v>
      </c>
      <c r="I271" s="1">
        <v>272</v>
      </c>
      <c r="J271" s="1">
        <v>0</v>
      </c>
      <c r="K271" s="1">
        <v>272</v>
      </c>
    </row>
    <row r="272" spans="1:11" x14ac:dyDescent="0.25">
      <c r="A272" s="1">
        <v>6800.01</v>
      </c>
      <c r="B272" s="1">
        <v>6900</v>
      </c>
      <c r="C272" s="1">
        <v>828</v>
      </c>
      <c r="D272" s="1">
        <v>759</v>
      </c>
      <c r="E272" s="1">
        <v>1587</v>
      </c>
      <c r="G272" s="1">
        <v>6800.01</v>
      </c>
      <c r="H272" s="1">
        <v>6900</v>
      </c>
      <c r="I272" s="1">
        <v>276</v>
      </c>
      <c r="J272" s="1">
        <v>0</v>
      </c>
      <c r="K272" s="1">
        <v>276</v>
      </c>
    </row>
    <row r="273" spans="1:11" x14ac:dyDescent="0.25">
      <c r="A273" s="1">
        <v>6900.01</v>
      </c>
      <c r="B273" s="1">
        <v>7000</v>
      </c>
      <c r="C273" s="1">
        <v>840</v>
      </c>
      <c r="D273" s="1">
        <v>770</v>
      </c>
      <c r="E273" s="1">
        <v>1610</v>
      </c>
      <c r="G273" s="1">
        <v>6900.01</v>
      </c>
      <c r="H273" s="1">
        <v>7000</v>
      </c>
      <c r="I273" s="1">
        <v>280</v>
      </c>
      <c r="J273" s="1">
        <v>0</v>
      </c>
      <c r="K273" s="1">
        <v>280</v>
      </c>
    </row>
    <row r="274" spans="1:11" x14ac:dyDescent="0.25">
      <c r="A274" s="1">
        <v>7000.01</v>
      </c>
      <c r="B274" s="1">
        <v>7100</v>
      </c>
      <c r="C274" s="1">
        <v>852</v>
      </c>
      <c r="D274" s="1">
        <v>781</v>
      </c>
      <c r="E274" s="1">
        <v>1633</v>
      </c>
      <c r="G274" s="1">
        <v>7000.01</v>
      </c>
      <c r="H274" s="1">
        <v>7100</v>
      </c>
      <c r="I274" s="1">
        <v>284</v>
      </c>
      <c r="J274" s="1">
        <v>0</v>
      </c>
      <c r="K274" s="1">
        <v>284</v>
      </c>
    </row>
    <row r="275" spans="1:11" x14ac:dyDescent="0.25">
      <c r="A275" s="1">
        <v>7100.01</v>
      </c>
      <c r="B275" s="1">
        <v>7200</v>
      </c>
      <c r="C275" s="1">
        <v>864</v>
      </c>
      <c r="D275" s="1">
        <v>792</v>
      </c>
      <c r="E275" s="1">
        <v>1656</v>
      </c>
      <c r="G275" s="1">
        <v>7100.01</v>
      </c>
      <c r="H275" s="1">
        <v>7200</v>
      </c>
      <c r="I275" s="1">
        <v>288</v>
      </c>
      <c r="J275" s="1">
        <v>0</v>
      </c>
      <c r="K275" s="1">
        <v>288</v>
      </c>
    </row>
    <row r="276" spans="1:11" x14ac:dyDescent="0.25">
      <c r="A276" s="1">
        <v>7200.01</v>
      </c>
      <c r="B276" s="1">
        <v>7300</v>
      </c>
      <c r="C276" s="1">
        <v>876</v>
      </c>
      <c r="D276" s="1">
        <v>803</v>
      </c>
      <c r="E276" s="1">
        <v>1679</v>
      </c>
      <c r="G276" s="1">
        <v>7200.01</v>
      </c>
      <c r="H276" s="1">
        <v>7300</v>
      </c>
      <c r="I276" s="1">
        <v>292</v>
      </c>
      <c r="J276" s="1">
        <v>0</v>
      </c>
      <c r="K276" s="1">
        <v>292</v>
      </c>
    </row>
    <row r="277" spans="1:11" x14ac:dyDescent="0.25">
      <c r="A277" s="1">
        <v>7300.01</v>
      </c>
      <c r="B277" s="1">
        <v>7400</v>
      </c>
      <c r="C277" s="1">
        <v>888</v>
      </c>
      <c r="D277" s="1">
        <v>814</v>
      </c>
      <c r="E277" s="1">
        <v>1702</v>
      </c>
      <c r="G277" s="1">
        <v>7300.01</v>
      </c>
      <c r="H277" s="1">
        <v>7400</v>
      </c>
      <c r="I277" s="1">
        <v>296</v>
      </c>
      <c r="J277" s="1">
        <v>0</v>
      </c>
      <c r="K277" s="1">
        <v>296</v>
      </c>
    </row>
    <row r="278" spans="1:11" x14ac:dyDescent="0.25">
      <c r="A278" s="1">
        <v>7400.01</v>
      </c>
      <c r="B278" s="1">
        <v>7500</v>
      </c>
      <c r="C278" s="1">
        <v>900</v>
      </c>
      <c r="D278" s="1">
        <v>825</v>
      </c>
      <c r="E278" s="1">
        <v>1725</v>
      </c>
      <c r="G278" s="1">
        <v>7400.01</v>
      </c>
      <c r="H278" s="1">
        <v>7500</v>
      </c>
      <c r="I278" s="1">
        <v>300</v>
      </c>
      <c r="J278" s="1">
        <v>0</v>
      </c>
      <c r="K278" s="1">
        <v>300</v>
      </c>
    </row>
    <row r="279" spans="1:11" x14ac:dyDescent="0.25">
      <c r="A279" s="1">
        <v>7500.01</v>
      </c>
      <c r="B279" s="1">
        <v>7600</v>
      </c>
      <c r="C279" s="1">
        <v>912</v>
      </c>
      <c r="D279" s="1">
        <v>836</v>
      </c>
      <c r="E279" s="1">
        <v>1748</v>
      </c>
      <c r="G279" s="1">
        <v>7500.01</v>
      </c>
      <c r="H279" s="1">
        <v>7600</v>
      </c>
      <c r="I279" s="1">
        <v>304</v>
      </c>
      <c r="J279" s="1">
        <v>0</v>
      </c>
      <c r="K279" s="1">
        <v>304</v>
      </c>
    </row>
    <row r="280" spans="1:11" x14ac:dyDescent="0.25">
      <c r="A280" s="1">
        <v>7600.01</v>
      </c>
      <c r="B280" s="1">
        <v>7700</v>
      </c>
      <c r="C280" s="1">
        <v>924</v>
      </c>
      <c r="D280" s="1">
        <v>847</v>
      </c>
      <c r="E280" s="1">
        <v>1771</v>
      </c>
      <c r="G280" s="1">
        <v>7600.01</v>
      </c>
      <c r="H280" s="1">
        <v>7700</v>
      </c>
      <c r="I280" s="1">
        <v>308</v>
      </c>
      <c r="J280" s="1">
        <v>0</v>
      </c>
      <c r="K280" s="1">
        <v>308</v>
      </c>
    </row>
    <row r="281" spans="1:11" x14ac:dyDescent="0.25">
      <c r="A281" s="1">
        <v>7700.01</v>
      </c>
      <c r="B281" s="1">
        <v>7800</v>
      </c>
      <c r="C281" s="1">
        <v>936</v>
      </c>
      <c r="D281" s="1">
        <v>858</v>
      </c>
      <c r="E281" s="1">
        <v>1794</v>
      </c>
      <c r="G281" s="1">
        <v>7700.01</v>
      </c>
      <c r="H281" s="1">
        <v>7800</v>
      </c>
      <c r="I281" s="1">
        <v>312</v>
      </c>
      <c r="J281" s="1">
        <v>0</v>
      </c>
      <c r="K281" s="1">
        <v>312</v>
      </c>
    </row>
    <row r="282" spans="1:11" x14ac:dyDescent="0.25">
      <c r="A282" s="1">
        <v>7800.01</v>
      </c>
      <c r="B282" s="1">
        <v>7900</v>
      </c>
      <c r="C282" s="1">
        <v>948</v>
      </c>
      <c r="D282" s="1">
        <v>869</v>
      </c>
      <c r="E282" s="1">
        <v>1817</v>
      </c>
      <c r="G282" s="1">
        <v>7800.01</v>
      </c>
      <c r="H282" s="1">
        <v>7900</v>
      </c>
      <c r="I282" s="1">
        <v>316</v>
      </c>
      <c r="J282" s="1">
        <v>0</v>
      </c>
      <c r="K282" s="1">
        <v>316</v>
      </c>
    </row>
    <row r="283" spans="1:11" x14ac:dyDescent="0.25">
      <c r="A283" s="1">
        <v>7900.01</v>
      </c>
      <c r="B283" s="1">
        <v>8000</v>
      </c>
      <c r="C283" s="1">
        <v>960</v>
      </c>
      <c r="D283" s="1">
        <v>880</v>
      </c>
      <c r="E283" s="1">
        <v>1840</v>
      </c>
      <c r="G283" s="1">
        <v>7900.01</v>
      </c>
      <c r="H283" s="1">
        <v>8000</v>
      </c>
      <c r="I283" s="1">
        <v>320</v>
      </c>
      <c r="J283" s="1">
        <v>0</v>
      </c>
      <c r="K283" s="1">
        <v>320</v>
      </c>
    </row>
    <row r="284" spans="1:11" x14ac:dyDescent="0.25">
      <c r="A284" s="1">
        <v>8000.01</v>
      </c>
      <c r="B284" s="1">
        <v>8100</v>
      </c>
      <c r="C284" s="1">
        <v>972</v>
      </c>
      <c r="D284" s="1">
        <v>891</v>
      </c>
      <c r="E284" s="1">
        <v>1863</v>
      </c>
      <c r="G284" s="1">
        <v>8000.01</v>
      </c>
      <c r="H284" s="1">
        <v>8100</v>
      </c>
      <c r="I284" s="1">
        <v>324</v>
      </c>
      <c r="J284" s="1">
        <v>0</v>
      </c>
      <c r="K284" s="1">
        <v>324</v>
      </c>
    </row>
    <row r="285" spans="1:11" x14ac:dyDescent="0.25">
      <c r="A285" s="1">
        <v>8100.01</v>
      </c>
      <c r="B285" s="1">
        <v>8200</v>
      </c>
      <c r="C285" s="1">
        <v>984</v>
      </c>
      <c r="D285" s="1">
        <v>902</v>
      </c>
      <c r="E285" s="1">
        <v>1886</v>
      </c>
      <c r="G285" s="1">
        <v>8100.01</v>
      </c>
      <c r="H285" s="1">
        <v>8200</v>
      </c>
      <c r="I285" s="1">
        <v>328</v>
      </c>
      <c r="J285" s="1">
        <v>0</v>
      </c>
      <c r="K285" s="1">
        <v>328</v>
      </c>
    </row>
    <row r="286" spans="1:11" x14ac:dyDescent="0.25">
      <c r="A286" s="1">
        <v>8200.01</v>
      </c>
      <c r="B286" s="1">
        <v>8300</v>
      </c>
      <c r="C286" s="1">
        <v>996</v>
      </c>
      <c r="D286" s="1">
        <v>913</v>
      </c>
      <c r="E286" s="1">
        <v>1909</v>
      </c>
      <c r="G286" s="1">
        <v>8200.01</v>
      </c>
      <c r="H286" s="1">
        <v>8300</v>
      </c>
      <c r="I286" s="1">
        <v>332</v>
      </c>
      <c r="J286" s="1">
        <v>0</v>
      </c>
      <c r="K286" s="1">
        <v>332</v>
      </c>
    </row>
    <row r="287" spans="1:11" x14ac:dyDescent="0.25">
      <c r="A287" s="1">
        <v>8300.01</v>
      </c>
      <c r="B287" s="1">
        <v>8400</v>
      </c>
      <c r="C287" s="1">
        <v>1008</v>
      </c>
      <c r="D287" s="1">
        <v>924</v>
      </c>
      <c r="E287" s="1">
        <v>1932</v>
      </c>
      <c r="G287" s="1">
        <v>8300.01</v>
      </c>
      <c r="H287" s="1">
        <v>8400</v>
      </c>
      <c r="I287" s="1">
        <v>336</v>
      </c>
      <c r="J287" s="1">
        <v>0</v>
      </c>
      <c r="K287" s="1">
        <v>336</v>
      </c>
    </row>
    <row r="288" spans="1:11" x14ac:dyDescent="0.25">
      <c r="A288" s="1">
        <v>8400.01</v>
      </c>
      <c r="B288" s="1">
        <v>8500</v>
      </c>
      <c r="C288" s="1">
        <v>1020</v>
      </c>
      <c r="D288" s="1">
        <v>935</v>
      </c>
      <c r="E288" s="1">
        <v>1955</v>
      </c>
      <c r="G288" s="1">
        <v>8400.01</v>
      </c>
      <c r="H288" s="1">
        <v>8500</v>
      </c>
      <c r="I288" s="1">
        <v>340</v>
      </c>
      <c r="J288" s="1">
        <v>0</v>
      </c>
      <c r="K288" s="1">
        <v>340</v>
      </c>
    </row>
    <row r="289" spans="1:11" x14ac:dyDescent="0.25">
      <c r="A289" s="1">
        <v>8500.01</v>
      </c>
      <c r="B289" s="1">
        <v>8600</v>
      </c>
      <c r="C289" s="1">
        <v>1032</v>
      </c>
      <c r="D289" s="1">
        <v>946</v>
      </c>
      <c r="E289" s="1">
        <v>1978</v>
      </c>
      <c r="G289" s="1">
        <v>8500.01</v>
      </c>
      <c r="H289" s="1">
        <v>8600</v>
      </c>
      <c r="I289" s="1">
        <v>344</v>
      </c>
      <c r="J289" s="1">
        <v>0</v>
      </c>
      <c r="K289" s="1">
        <v>344</v>
      </c>
    </row>
    <row r="290" spans="1:11" x14ac:dyDescent="0.25">
      <c r="A290" s="1">
        <v>8600.01</v>
      </c>
      <c r="B290" s="1">
        <v>8700</v>
      </c>
      <c r="C290" s="1">
        <v>1044</v>
      </c>
      <c r="D290" s="1">
        <v>957</v>
      </c>
      <c r="E290" s="1">
        <v>2001</v>
      </c>
      <c r="G290" s="1">
        <v>8600.01</v>
      </c>
      <c r="H290" s="1">
        <v>8700</v>
      </c>
      <c r="I290" s="1">
        <v>348</v>
      </c>
      <c r="J290" s="1">
        <v>0</v>
      </c>
      <c r="K290" s="1">
        <v>348</v>
      </c>
    </row>
    <row r="291" spans="1:11" x14ac:dyDescent="0.25">
      <c r="A291" s="1">
        <v>8700.01</v>
      </c>
      <c r="B291" s="1">
        <v>8800</v>
      </c>
      <c r="C291" s="1">
        <v>1056</v>
      </c>
      <c r="D291" s="1">
        <v>968</v>
      </c>
      <c r="E291" s="1">
        <v>2024</v>
      </c>
      <c r="G291" s="1">
        <v>8700.01</v>
      </c>
      <c r="H291" s="1">
        <v>8800</v>
      </c>
      <c r="I291" s="1">
        <v>352</v>
      </c>
      <c r="J291" s="1">
        <v>0</v>
      </c>
      <c r="K291" s="1">
        <v>352</v>
      </c>
    </row>
    <row r="292" spans="1:11" x14ac:dyDescent="0.25">
      <c r="A292" s="1">
        <v>8800.01</v>
      </c>
      <c r="B292" s="1">
        <v>8900</v>
      </c>
      <c r="C292" s="1">
        <v>1068</v>
      </c>
      <c r="D292" s="1">
        <v>979</v>
      </c>
      <c r="E292" s="1">
        <v>2047</v>
      </c>
      <c r="G292" s="1">
        <v>8800.01</v>
      </c>
      <c r="H292" s="1">
        <v>8900</v>
      </c>
      <c r="I292" s="1">
        <v>356</v>
      </c>
      <c r="J292" s="1">
        <v>0</v>
      </c>
      <c r="K292" s="1">
        <v>356</v>
      </c>
    </row>
    <row r="293" spans="1:11" x14ac:dyDescent="0.25">
      <c r="A293" s="1">
        <v>8900.01</v>
      </c>
      <c r="B293" s="1">
        <v>9000</v>
      </c>
      <c r="C293" s="1">
        <v>1080</v>
      </c>
      <c r="D293" s="1">
        <v>990</v>
      </c>
      <c r="E293" s="1">
        <v>2070</v>
      </c>
      <c r="G293" s="1">
        <v>8900.01</v>
      </c>
      <c r="H293" s="1">
        <v>9000</v>
      </c>
      <c r="I293" s="1">
        <v>360</v>
      </c>
      <c r="J293" s="1">
        <v>0</v>
      </c>
      <c r="K293" s="1">
        <v>360</v>
      </c>
    </row>
    <row r="294" spans="1:11" x14ac:dyDescent="0.25">
      <c r="A294" s="1">
        <v>9000.01</v>
      </c>
      <c r="B294" s="1">
        <v>9100</v>
      </c>
      <c r="C294" s="1">
        <v>1092</v>
      </c>
      <c r="D294" s="1">
        <v>1001</v>
      </c>
      <c r="E294" s="1">
        <v>2093</v>
      </c>
      <c r="G294" s="1">
        <v>9000.01</v>
      </c>
      <c r="H294" s="1">
        <v>9100</v>
      </c>
      <c r="I294" s="1">
        <v>364</v>
      </c>
      <c r="J294" s="1">
        <v>0</v>
      </c>
      <c r="K294" s="1">
        <v>364</v>
      </c>
    </row>
    <row r="295" spans="1:11" x14ac:dyDescent="0.25">
      <c r="A295" s="1">
        <v>9100.01</v>
      </c>
      <c r="B295" s="1">
        <v>9200</v>
      </c>
      <c r="C295" s="1">
        <v>1104</v>
      </c>
      <c r="D295" s="1">
        <v>1012</v>
      </c>
      <c r="E295" s="1">
        <v>2116</v>
      </c>
      <c r="G295" s="1">
        <v>9100.01</v>
      </c>
      <c r="H295" s="1">
        <v>9200</v>
      </c>
      <c r="I295" s="1">
        <v>368</v>
      </c>
      <c r="J295" s="1">
        <v>0</v>
      </c>
      <c r="K295" s="1">
        <v>368</v>
      </c>
    </row>
    <row r="296" spans="1:11" x14ac:dyDescent="0.25">
      <c r="A296" s="1">
        <v>9200.01</v>
      </c>
      <c r="B296" s="1">
        <v>9300</v>
      </c>
      <c r="C296" s="1">
        <v>1116</v>
      </c>
      <c r="D296" s="1">
        <v>1023</v>
      </c>
      <c r="E296" s="1">
        <v>2139</v>
      </c>
      <c r="G296" s="1">
        <v>9200.01</v>
      </c>
      <c r="H296" s="1">
        <v>9300</v>
      </c>
      <c r="I296" s="1">
        <v>372</v>
      </c>
      <c r="J296" s="1">
        <v>0</v>
      </c>
      <c r="K296" s="1">
        <v>372</v>
      </c>
    </row>
    <row r="297" spans="1:11" x14ac:dyDescent="0.25">
      <c r="A297" s="1">
        <v>9300.01</v>
      </c>
      <c r="B297" s="1">
        <v>9400</v>
      </c>
      <c r="C297" s="1">
        <v>1128</v>
      </c>
      <c r="D297" s="1">
        <v>1034</v>
      </c>
      <c r="E297" s="1">
        <v>2162</v>
      </c>
      <c r="G297" s="1">
        <v>9300.01</v>
      </c>
      <c r="H297" s="1">
        <v>9400</v>
      </c>
      <c r="I297" s="1">
        <v>376</v>
      </c>
      <c r="J297" s="1">
        <v>0</v>
      </c>
      <c r="K297" s="1">
        <v>376</v>
      </c>
    </row>
    <row r="298" spans="1:11" x14ac:dyDescent="0.25">
      <c r="A298" s="1">
        <v>9400.01</v>
      </c>
      <c r="B298" s="1">
        <v>9500</v>
      </c>
      <c r="C298" s="1">
        <v>1140</v>
      </c>
      <c r="D298" s="1">
        <v>1045</v>
      </c>
      <c r="E298" s="1">
        <v>2185</v>
      </c>
      <c r="G298" s="1">
        <v>9400.01</v>
      </c>
      <c r="H298" s="1">
        <v>9500</v>
      </c>
      <c r="I298" s="1">
        <v>380</v>
      </c>
      <c r="J298" s="1">
        <v>0</v>
      </c>
      <c r="K298" s="1">
        <v>380</v>
      </c>
    </row>
    <row r="299" spans="1:11" x14ac:dyDescent="0.25">
      <c r="A299" s="1">
        <v>9500.01</v>
      </c>
      <c r="B299" s="1">
        <v>9600</v>
      </c>
      <c r="C299" s="1">
        <v>1152</v>
      </c>
      <c r="D299" s="1">
        <v>1056</v>
      </c>
      <c r="E299" s="1">
        <v>2208</v>
      </c>
      <c r="G299" s="1">
        <v>9500.01</v>
      </c>
      <c r="H299" s="1">
        <v>9600</v>
      </c>
      <c r="I299" s="1">
        <v>384</v>
      </c>
      <c r="J299" s="1">
        <v>0</v>
      </c>
      <c r="K299" s="1">
        <v>384</v>
      </c>
    </row>
    <row r="300" spans="1:11" x14ac:dyDescent="0.25">
      <c r="A300" s="1">
        <v>9600.01</v>
      </c>
      <c r="B300" s="1">
        <v>9700</v>
      </c>
      <c r="C300" s="1">
        <v>1164</v>
      </c>
      <c r="D300" s="1">
        <v>1067</v>
      </c>
      <c r="E300" s="1">
        <v>2231</v>
      </c>
      <c r="G300" s="1">
        <v>9600.01</v>
      </c>
      <c r="H300" s="1">
        <v>9700</v>
      </c>
      <c r="I300" s="1">
        <v>388</v>
      </c>
      <c r="J300" s="1">
        <v>0</v>
      </c>
      <c r="K300" s="1">
        <v>388</v>
      </c>
    </row>
    <row r="301" spans="1:11" x14ac:dyDescent="0.25">
      <c r="A301" s="1">
        <v>9700.01</v>
      </c>
      <c r="B301" s="1">
        <v>9800</v>
      </c>
      <c r="C301" s="1">
        <v>1176</v>
      </c>
      <c r="D301" s="1">
        <v>1078</v>
      </c>
      <c r="E301" s="1">
        <v>2254</v>
      </c>
      <c r="G301" s="1">
        <v>9700.01</v>
      </c>
      <c r="H301" s="1">
        <v>9800</v>
      </c>
      <c r="I301" s="1">
        <v>392</v>
      </c>
      <c r="J301" s="1">
        <v>0</v>
      </c>
      <c r="K301" s="1">
        <v>392</v>
      </c>
    </row>
    <row r="302" spans="1:11" x14ac:dyDescent="0.25">
      <c r="A302" s="1">
        <v>9800.01</v>
      </c>
      <c r="B302" s="1">
        <v>9900</v>
      </c>
      <c r="C302" s="1">
        <v>1188</v>
      </c>
      <c r="D302" s="1">
        <v>1089</v>
      </c>
      <c r="E302" s="1">
        <v>2277</v>
      </c>
      <c r="G302" s="1">
        <v>9800.01</v>
      </c>
      <c r="H302" s="1">
        <v>9900</v>
      </c>
      <c r="I302" s="1">
        <v>396</v>
      </c>
      <c r="J302" s="1">
        <v>0</v>
      </c>
      <c r="K302" s="1">
        <v>396</v>
      </c>
    </row>
    <row r="303" spans="1:11" x14ac:dyDescent="0.25">
      <c r="A303" s="1">
        <v>9900.01</v>
      </c>
      <c r="B303" s="1">
        <v>10000</v>
      </c>
      <c r="C303" s="1">
        <v>1200</v>
      </c>
      <c r="D303" s="1">
        <v>1100</v>
      </c>
      <c r="E303" s="1">
        <v>2300</v>
      </c>
      <c r="G303" s="1">
        <v>9900.01</v>
      </c>
      <c r="H303" s="1">
        <v>10000</v>
      </c>
      <c r="I303" s="1">
        <v>400</v>
      </c>
      <c r="J303" s="1">
        <v>0</v>
      </c>
      <c r="K303" s="1">
        <v>400</v>
      </c>
    </row>
    <row r="304" spans="1:11" x14ac:dyDescent="0.25">
      <c r="A304" s="1">
        <v>10000.01</v>
      </c>
      <c r="B304" s="1">
        <v>10100</v>
      </c>
      <c r="C304" s="1">
        <v>1212</v>
      </c>
      <c r="D304" s="1">
        <v>1111</v>
      </c>
      <c r="E304" s="1">
        <v>2323</v>
      </c>
      <c r="G304" s="1">
        <v>10000.01</v>
      </c>
      <c r="H304" s="1">
        <v>10100</v>
      </c>
      <c r="I304" s="1">
        <v>404</v>
      </c>
      <c r="J304" s="1">
        <v>0</v>
      </c>
      <c r="K304" s="1">
        <v>404</v>
      </c>
    </row>
    <row r="305" spans="1:11" x14ac:dyDescent="0.25">
      <c r="A305" s="1">
        <v>10100.01</v>
      </c>
      <c r="B305" s="1">
        <v>10200</v>
      </c>
      <c r="C305" s="1">
        <v>1224</v>
      </c>
      <c r="D305" s="1">
        <v>1122</v>
      </c>
      <c r="E305" s="1">
        <v>2346</v>
      </c>
      <c r="G305" s="1">
        <v>10100.01</v>
      </c>
      <c r="H305" s="1">
        <v>10200</v>
      </c>
      <c r="I305" s="1">
        <v>408</v>
      </c>
      <c r="J305" s="1">
        <v>0</v>
      </c>
      <c r="K305" s="1">
        <v>408</v>
      </c>
    </row>
    <row r="306" spans="1:11" x14ac:dyDescent="0.25">
      <c r="A306" s="1">
        <v>10200.01</v>
      </c>
      <c r="B306" s="1">
        <v>10300</v>
      </c>
      <c r="C306" s="1">
        <v>1236</v>
      </c>
      <c r="D306" s="1">
        <v>1133</v>
      </c>
      <c r="E306" s="1">
        <v>2369</v>
      </c>
      <c r="G306" s="1">
        <v>10200.01</v>
      </c>
      <c r="H306" s="1">
        <v>10300</v>
      </c>
      <c r="I306" s="1">
        <v>412</v>
      </c>
      <c r="J306" s="1">
        <v>0</v>
      </c>
      <c r="K306" s="1">
        <v>412</v>
      </c>
    </row>
    <row r="307" spans="1:11" x14ac:dyDescent="0.25">
      <c r="A307" s="1">
        <v>10300.01</v>
      </c>
      <c r="B307" s="1">
        <v>10400</v>
      </c>
      <c r="C307" s="1">
        <v>1248</v>
      </c>
      <c r="D307" s="1">
        <v>1144</v>
      </c>
      <c r="E307" s="1">
        <v>2392</v>
      </c>
      <c r="G307" s="1">
        <v>10300.01</v>
      </c>
      <c r="H307" s="1">
        <v>10400</v>
      </c>
      <c r="I307" s="1">
        <v>416</v>
      </c>
      <c r="J307" s="1">
        <v>0</v>
      </c>
      <c r="K307" s="1">
        <v>416</v>
      </c>
    </row>
    <row r="308" spans="1:11" x14ac:dyDescent="0.25">
      <c r="A308" s="1">
        <v>10400.01</v>
      </c>
      <c r="B308" s="1">
        <v>10500</v>
      </c>
      <c r="C308" s="1">
        <v>1260</v>
      </c>
      <c r="D308" s="1">
        <v>1155</v>
      </c>
      <c r="E308" s="1">
        <v>2415</v>
      </c>
      <c r="G308" s="1">
        <v>10400.01</v>
      </c>
      <c r="H308" s="1">
        <v>10500</v>
      </c>
      <c r="I308" s="1">
        <v>420</v>
      </c>
      <c r="J308" s="1">
        <v>0</v>
      </c>
      <c r="K308" s="1">
        <v>420</v>
      </c>
    </row>
    <row r="309" spans="1:11" x14ac:dyDescent="0.25">
      <c r="A309" s="1">
        <v>10500.01</v>
      </c>
      <c r="B309" s="1">
        <v>10600</v>
      </c>
      <c r="C309" s="1">
        <v>1272</v>
      </c>
      <c r="D309" s="1">
        <v>1166</v>
      </c>
      <c r="E309" s="1">
        <v>2438</v>
      </c>
      <c r="G309" s="1">
        <v>10500.01</v>
      </c>
      <c r="H309" s="1">
        <v>10600</v>
      </c>
      <c r="I309" s="1">
        <v>424</v>
      </c>
      <c r="J309" s="1">
        <v>0</v>
      </c>
      <c r="K309" s="1">
        <v>424</v>
      </c>
    </row>
    <row r="310" spans="1:11" x14ac:dyDescent="0.25">
      <c r="A310" s="1">
        <v>10600.01</v>
      </c>
      <c r="B310" s="1">
        <v>10700</v>
      </c>
      <c r="C310" s="1">
        <v>1284</v>
      </c>
      <c r="D310" s="1">
        <v>1177</v>
      </c>
      <c r="E310" s="1">
        <v>2461</v>
      </c>
      <c r="G310" s="1">
        <v>10600.01</v>
      </c>
      <c r="H310" s="1">
        <v>10700</v>
      </c>
      <c r="I310" s="1">
        <v>428</v>
      </c>
      <c r="J310" s="1">
        <v>0</v>
      </c>
      <c r="K310" s="1">
        <v>428</v>
      </c>
    </row>
    <row r="311" spans="1:11" x14ac:dyDescent="0.25">
      <c r="A311" s="1">
        <v>10700.01</v>
      </c>
      <c r="B311" s="1">
        <v>10800</v>
      </c>
      <c r="C311" s="1">
        <v>1296</v>
      </c>
      <c r="D311" s="1">
        <v>1188</v>
      </c>
      <c r="E311" s="1">
        <v>2484</v>
      </c>
      <c r="G311" s="1">
        <v>10700.01</v>
      </c>
      <c r="H311" s="1">
        <v>10800</v>
      </c>
      <c r="I311" s="1">
        <v>432</v>
      </c>
      <c r="J311" s="1">
        <v>0</v>
      </c>
      <c r="K311" s="1">
        <v>432</v>
      </c>
    </row>
    <row r="312" spans="1:11" x14ac:dyDescent="0.25">
      <c r="A312" s="1">
        <v>10800.01</v>
      </c>
      <c r="B312" s="1">
        <v>10900</v>
      </c>
      <c r="C312" s="1">
        <v>1308</v>
      </c>
      <c r="D312" s="1">
        <v>1199</v>
      </c>
      <c r="E312" s="1">
        <v>2507</v>
      </c>
      <c r="G312" s="1">
        <v>10800.01</v>
      </c>
      <c r="H312" s="1">
        <v>10900</v>
      </c>
      <c r="I312" s="1">
        <v>436</v>
      </c>
      <c r="J312" s="1">
        <v>0</v>
      </c>
      <c r="K312" s="1">
        <v>436</v>
      </c>
    </row>
    <row r="313" spans="1:11" x14ac:dyDescent="0.25">
      <c r="A313" s="1">
        <v>10900.01</v>
      </c>
      <c r="B313" s="1">
        <v>11000</v>
      </c>
      <c r="C313" s="1">
        <v>1320</v>
      </c>
      <c r="D313" s="1">
        <v>1210</v>
      </c>
      <c r="E313" s="1">
        <v>2530</v>
      </c>
      <c r="G313" s="1">
        <v>10900.01</v>
      </c>
      <c r="H313" s="1">
        <v>11000</v>
      </c>
      <c r="I313" s="1">
        <v>440</v>
      </c>
      <c r="J313" s="1">
        <v>0</v>
      </c>
      <c r="K313" s="1">
        <v>440</v>
      </c>
    </row>
    <row r="314" spans="1:11" x14ac:dyDescent="0.25">
      <c r="A314" s="1">
        <v>11000.01</v>
      </c>
      <c r="B314" s="1">
        <v>11100</v>
      </c>
      <c r="C314" s="1">
        <v>1332</v>
      </c>
      <c r="D314" s="1">
        <v>1221</v>
      </c>
      <c r="E314" s="1">
        <v>2553</v>
      </c>
      <c r="G314" s="1">
        <v>11000.01</v>
      </c>
      <c r="H314" s="1">
        <v>11100</v>
      </c>
      <c r="I314" s="1">
        <v>444</v>
      </c>
      <c r="J314" s="1">
        <v>0</v>
      </c>
      <c r="K314" s="1">
        <v>444</v>
      </c>
    </row>
    <row r="315" spans="1:11" x14ac:dyDescent="0.25">
      <c r="A315" s="1">
        <v>11100.01</v>
      </c>
      <c r="B315" s="1">
        <v>11200</v>
      </c>
      <c r="C315" s="1">
        <v>1344</v>
      </c>
      <c r="D315" s="1">
        <v>1232</v>
      </c>
      <c r="E315" s="1">
        <v>2576</v>
      </c>
      <c r="G315" s="1">
        <v>11100.01</v>
      </c>
      <c r="H315" s="1">
        <v>11200</v>
      </c>
      <c r="I315" s="1">
        <v>448</v>
      </c>
      <c r="J315" s="1">
        <v>0</v>
      </c>
      <c r="K315" s="1">
        <v>448</v>
      </c>
    </row>
    <row r="316" spans="1:11" x14ac:dyDescent="0.25">
      <c r="A316" s="1">
        <v>11200.01</v>
      </c>
      <c r="B316" s="1">
        <v>11300</v>
      </c>
      <c r="C316" s="1">
        <v>1356</v>
      </c>
      <c r="D316" s="1">
        <v>1243</v>
      </c>
      <c r="E316" s="1">
        <v>2599</v>
      </c>
      <c r="G316" s="1">
        <v>11200.01</v>
      </c>
      <c r="H316" s="1">
        <v>11300</v>
      </c>
      <c r="I316" s="1">
        <v>452</v>
      </c>
      <c r="J316" s="1">
        <v>0</v>
      </c>
      <c r="K316" s="1">
        <v>452</v>
      </c>
    </row>
    <row r="317" spans="1:11" x14ac:dyDescent="0.25">
      <c r="A317" s="1">
        <v>11300.01</v>
      </c>
      <c r="B317" s="1">
        <v>11400</v>
      </c>
      <c r="C317" s="1">
        <v>1368</v>
      </c>
      <c r="D317" s="1">
        <v>1254</v>
      </c>
      <c r="E317" s="1">
        <v>2622</v>
      </c>
      <c r="G317" s="1">
        <v>11300.01</v>
      </c>
      <c r="H317" s="1">
        <v>11400</v>
      </c>
      <c r="I317" s="1">
        <v>456</v>
      </c>
      <c r="J317" s="1">
        <v>0</v>
      </c>
      <c r="K317" s="1">
        <v>456</v>
      </c>
    </row>
    <row r="318" spans="1:11" x14ac:dyDescent="0.25">
      <c r="A318" s="1">
        <v>11400.01</v>
      </c>
      <c r="B318" s="1">
        <v>11500</v>
      </c>
      <c r="C318" s="1">
        <v>1380</v>
      </c>
      <c r="D318" s="1">
        <v>1265</v>
      </c>
      <c r="E318" s="1">
        <v>2645</v>
      </c>
      <c r="G318" s="1">
        <v>11400.01</v>
      </c>
      <c r="H318" s="1">
        <v>11500</v>
      </c>
      <c r="I318" s="1">
        <v>460</v>
      </c>
      <c r="J318" s="1">
        <v>0</v>
      </c>
      <c r="K318" s="1">
        <v>460</v>
      </c>
    </row>
    <row r="319" spans="1:11" x14ac:dyDescent="0.25">
      <c r="A319" s="1">
        <v>11500.01</v>
      </c>
      <c r="B319" s="1">
        <v>11600</v>
      </c>
      <c r="C319" s="1">
        <v>1392</v>
      </c>
      <c r="D319" s="1">
        <v>1276</v>
      </c>
      <c r="E319" s="1">
        <v>2668</v>
      </c>
      <c r="G319" s="1">
        <v>11500.01</v>
      </c>
      <c r="H319" s="1">
        <v>11600</v>
      </c>
      <c r="I319" s="1">
        <v>464</v>
      </c>
      <c r="J319" s="1">
        <v>0</v>
      </c>
      <c r="K319" s="1">
        <v>464</v>
      </c>
    </row>
    <row r="320" spans="1:11" x14ac:dyDescent="0.25">
      <c r="A320" s="1">
        <v>11600.01</v>
      </c>
      <c r="B320" s="1">
        <v>11700</v>
      </c>
      <c r="C320" s="1">
        <v>1404</v>
      </c>
      <c r="D320" s="1">
        <v>1287</v>
      </c>
      <c r="E320" s="1">
        <v>2691</v>
      </c>
      <c r="G320" s="1">
        <v>11600.01</v>
      </c>
      <c r="H320" s="1">
        <v>11700</v>
      </c>
      <c r="I320" s="1">
        <v>468</v>
      </c>
      <c r="J320" s="1">
        <v>0</v>
      </c>
      <c r="K320" s="1">
        <v>468</v>
      </c>
    </row>
    <row r="321" spans="1:11" x14ac:dyDescent="0.25">
      <c r="A321" s="1">
        <v>11700.01</v>
      </c>
      <c r="B321" s="1">
        <v>11800</v>
      </c>
      <c r="C321" s="1">
        <v>1416</v>
      </c>
      <c r="D321" s="1">
        <v>1298</v>
      </c>
      <c r="E321" s="1">
        <v>2714</v>
      </c>
      <c r="G321" s="1">
        <v>11700.01</v>
      </c>
      <c r="H321" s="1">
        <v>11800</v>
      </c>
      <c r="I321" s="1">
        <v>472</v>
      </c>
      <c r="J321" s="1">
        <v>0</v>
      </c>
      <c r="K321" s="1">
        <v>472</v>
      </c>
    </row>
    <row r="322" spans="1:11" x14ac:dyDescent="0.25">
      <c r="A322" s="1">
        <v>11800.01</v>
      </c>
      <c r="B322" s="1">
        <v>11900</v>
      </c>
      <c r="C322" s="1">
        <v>1428</v>
      </c>
      <c r="D322" s="1">
        <v>1309</v>
      </c>
      <c r="E322" s="1">
        <v>2737</v>
      </c>
      <c r="G322" s="1">
        <v>11800.01</v>
      </c>
      <c r="H322" s="1">
        <v>11900</v>
      </c>
      <c r="I322" s="1">
        <v>476</v>
      </c>
      <c r="J322" s="1">
        <v>0</v>
      </c>
      <c r="K322" s="1">
        <v>476</v>
      </c>
    </row>
    <row r="323" spans="1:11" x14ac:dyDescent="0.25">
      <c r="A323" s="1">
        <v>11900.01</v>
      </c>
      <c r="B323" s="1">
        <v>12000</v>
      </c>
      <c r="C323" s="1">
        <v>1440</v>
      </c>
      <c r="D323" s="1">
        <v>1320</v>
      </c>
      <c r="E323" s="1">
        <v>2760</v>
      </c>
      <c r="G323" s="1">
        <v>11900.01</v>
      </c>
      <c r="H323" s="1">
        <v>12000</v>
      </c>
      <c r="I323" s="1">
        <v>480</v>
      </c>
      <c r="J323" s="1">
        <v>0</v>
      </c>
      <c r="K323" s="1">
        <v>480</v>
      </c>
    </row>
    <row r="324" spans="1:11" x14ac:dyDescent="0.25">
      <c r="A324" s="1">
        <v>12000.01</v>
      </c>
      <c r="B324" s="1">
        <v>12100</v>
      </c>
      <c r="C324" s="1">
        <v>1452</v>
      </c>
      <c r="D324" s="1">
        <v>1331</v>
      </c>
      <c r="E324" s="1">
        <v>2783</v>
      </c>
      <c r="G324" s="1">
        <v>12000.01</v>
      </c>
      <c r="H324" s="1">
        <v>12100</v>
      </c>
      <c r="I324" s="1">
        <v>484</v>
      </c>
      <c r="J324" s="1">
        <v>0</v>
      </c>
      <c r="K324" s="1">
        <v>484</v>
      </c>
    </row>
    <row r="325" spans="1:11" x14ac:dyDescent="0.25">
      <c r="A325" s="1">
        <v>12100.01</v>
      </c>
      <c r="B325" s="1">
        <v>12200</v>
      </c>
      <c r="C325" s="1">
        <v>1464</v>
      </c>
      <c r="D325" s="1">
        <v>1342</v>
      </c>
      <c r="E325" s="1">
        <v>2806</v>
      </c>
      <c r="G325" s="1">
        <v>12100.01</v>
      </c>
      <c r="H325" s="1">
        <v>12200</v>
      </c>
      <c r="I325" s="1">
        <v>488</v>
      </c>
      <c r="J325" s="1">
        <v>0</v>
      </c>
      <c r="K325" s="1">
        <v>488</v>
      </c>
    </row>
    <row r="326" spans="1:11" x14ac:dyDescent="0.25">
      <c r="A326" s="1">
        <v>12200.01</v>
      </c>
      <c r="B326" s="1">
        <v>12300</v>
      </c>
      <c r="C326" s="1">
        <v>1476</v>
      </c>
      <c r="D326" s="1">
        <v>1353</v>
      </c>
      <c r="E326" s="1">
        <v>2829</v>
      </c>
      <c r="G326" s="1">
        <v>12200.01</v>
      </c>
      <c r="H326" s="1">
        <v>12300</v>
      </c>
      <c r="I326" s="1">
        <v>492</v>
      </c>
      <c r="J326" s="1">
        <v>0</v>
      </c>
      <c r="K326" s="1">
        <v>492</v>
      </c>
    </row>
    <row r="327" spans="1:11" x14ac:dyDescent="0.25">
      <c r="A327" s="1">
        <v>12300.01</v>
      </c>
      <c r="B327" s="1">
        <v>12400</v>
      </c>
      <c r="C327" s="1">
        <v>1488</v>
      </c>
      <c r="D327" s="1">
        <v>1364</v>
      </c>
      <c r="E327" s="1">
        <v>2852</v>
      </c>
      <c r="G327" s="1">
        <v>12300.01</v>
      </c>
      <c r="H327" s="1">
        <v>12400</v>
      </c>
      <c r="I327" s="1">
        <v>496</v>
      </c>
      <c r="J327" s="1">
        <v>0</v>
      </c>
      <c r="K327" s="1">
        <v>496</v>
      </c>
    </row>
    <row r="328" spans="1:11" x14ac:dyDescent="0.25">
      <c r="A328" s="1">
        <v>12400.01</v>
      </c>
      <c r="B328" s="1">
        <v>12500</v>
      </c>
      <c r="C328" s="1">
        <v>1500</v>
      </c>
      <c r="D328" s="1">
        <v>1375</v>
      </c>
      <c r="E328" s="1">
        <v>2875</v>
      </c>
      <c r="G328" s="1">
        <v>12400.01</v>
      </c>
      <c r="H328" s="1">
        <v>12500</v>
      </c>
      <c r="I328" s="1">
        <v>500</v>
      </c>
      <c r="J328" s="1">
        <v>0</v>
      </c>
      <c r="K328" s="1">
        <v>500</v>
      </c>
    </row>
    <row r="329" spans="1:11" x14ac:dyDescent="0.25">
      <c r="A329" s="1">
        <v>12500.01</v>
      </c>
      <c r="B329" s="1">
        <v>12600</v>
      </c>
      <c r="C329" s="1">
        <v>1512</v>
      </c>
      <c r="D329" s="1">
        <v>1386</v>
      </c>
      <c r="E329" s="1">
        <v>2898</v>
      </c>
      <c r="G329" s="1">
        <v>12500.01</v>
      </c>
      <c r="H329" s="1">
        <v>12600</v>
      </c>
      <c r="I329" s="1">
        <v>504</v>
      </c>
      <c r="J329" s="1">
        <v>0</v>
      </c>
      <c r="K329" s="1">
        <v>504</v>
      </c>
    </row>
    <row r="330" spans="1:11" x14ac:dyDescent="0.25">
      <c r="A330" s="1">
        <v>12600.01</v>
      </c>
      <c r="B330" s="1">
        <v>12700</v>
      </c>
      <c r="C330" s="1">
        <v>1524</v>
      </c>
      <c r="D330" s="1">
        <v>1397</v>
      </c>
      <c r="E330" s="1">
        <v>2921</v>
      </c>
      <c r="G330" s="1">
        <v>12600.01</v>
      </c>
      <c r="H330" s="1">
        <v>12700</v>
      </c>
      <c r="I330" s="1">
        <v>508</v>
      </c>
      <c r="J330" s="1">
        <v>0</v>
      </c>
      <c r="K330" s="1">
        <v>508</v>
      </c>
    </row>
    <row r="331" spans="1:11" x14ac:dyDescent="0.25">
      <c r="A331" s="1">
        <v>12700.01</v>
      </c>
      <c r="B331" s="1">
        <v>12800</v>
      </c>
      <c r="C331" s="1">
        <v>1536</v>
      </c>
      <c r="D331" s="1">
        <v>1408</v>
      </c>
      <c r="E331" s="1">
        <v>2944</v>
      </c>
      <c r="G331" s="1">
        <v>12700.01</v>
      </c>
      <c r="H331" s="1">
        <v>12800</v>
      </c>
      <c r="I331" s="1">
        <v>512</v>
      </c>
      <c r="J331" s="1">
        <v>0</v>
      </c>
      <c r="K331" s="1">
        <v>512</v>
      </c>
    </row>
    <row r="332" spans="1:11" x14ac:dyDescent="0.25">
      <c r="A332" s="1">
        <v>12800.01</v>
      </c>
      <c r="B332" s="1">
        <v>12900</v>
      </c>
      <c r="C332" s="1">
        <v>1548</v>
      </c>
      <c r="D332" s="1">
        <v>1419</v>
      </c>
      <c r="E332" s="1">
        <v>2967</v>
      </c>
      <c r="G332" s="1">
        <v>12800.01</v>
      </c>
      <c r="H332" s="1">
        <v>12900</v>
      </c>
      <c r="I332" s="1">
        <v>516</v>
      </c>
      <c r="J332" s="1">
        <v>0</v>
      </c>
      <c r="K332" s="1">
        <v>516</v>
      </c>
    </row>
    <row r="333" spans="1:11" x14ac:dyDescent="0.25">
      <c r="A333" s="1">
        <v>12900.01</v>
      </c>
      <c r="B333" s="1">
        <v>13000</v>
      </c>
      <c r="C333" s="1">
        <v>1560</v>
      </c>
      <c r="D333" s="1">
        <v>1430</v>
      </c>
      <c r="E333" s="1">
        <v>2990</v>
      </c>
      <c r="G333" s="1">
        <v>12900.01</v>
      </c>
      <c r="H333" s="1">
        <v>13000</v>
      </c>
      <c r="I333" s="1">
        <v>520</v>
      </c>
      <c r="J333" s="1">
        <v>0</v>
      </c>
      <c r="K333" s="1">
        <v>520</v>
      </c>
    </row>
    <row r="334" spans="1:11" x14ac:dyDescent="0.25">
      <c r="A334" s="1">
        <v>13000.01</v>
      </c>
      <c r="B334" s="1">
        <v>13100</v>
      </c>
      <c r="C334" s="1">
        <v>1572</v>
      </c>
      <c r="D334" s="1">
        <v>1441</v>
      </c>
      <c r="E334" s="1">
        <v>3013</v>
      </c>
      <c r="G334" s="1">
        <v>13000.01</v>
      </c>
      <c r="H334" s="1">
        <v>13100</v>
      </c>
      <c r="I334" s="1">
        <v>524</v>
      </c>
      <c r="J334" s="1">
        <v>0</v>
      </c>
      <c r="K334" s="1">
        <v>524</v>
      </c>
    </row>
    <row r="335" spans="1:11" x14ac:dyDescent="0.25">
      <c r="A335" s="1">
        <v>13100.01</v>
      </c>
      <c r="B335" s="1">
        <v>13200</v>
      </c>
      <c r="C335" s="1">
        <v>1584</v>
      </c>
      <c r="D335" s="1">
        <v>1452</v>
      </c>
      <c r="E335" s="1">
        <v>3036</v>
      </c>
      <c r="G335" s="1">
        <v>13100.01</v>
      </c>
      <c r="H335" s="1">
        <v>13200</v>
      </c>
      <c r="I335" s="1">
        <v>528</v>
      </c>
      <c r="J335" s="1">
        <v>0</v>
      </c>
      <c r="K335" s="1">
        <v>528</v>
      </c>
    </row>
    <row r="336" spans="1:11" x14ac:dyDescent="0.25">
      <c r="A336" s="1">
        <v>13200.01</v>
      </c>
      <c r="B336" s="1">
        <v>13300</v>
      </c>
      <c r="C336" s="1">
        <v>1596</v>
      </c>
      <c r="D336" s="1">
        <v>1463</v>
      </c>
      <c r="E336" s="1">
        <v>3059</v>
      </c>
      <c r="G336" s="1">
        <v>13200.01</v>
      </c>
      <c r="H336" s="1">
        <v>13300</v>
      </c>
      <c r="I336" s="1">
        <v>532</v>
      </c>
      <c r="J336" s="1">
        <v>0</v>
      </c>
      <c r="K336" s="1">
        <v>532</v>
      </c>
    </row>
    <row r="337" spans="1:11" x14ac:dyDescent="0.25">
      <c r="A337" s="1">
        <v>13300.01</v>
      </c>
      <c r="B337" s="1">
        <v>13400</v>
      </c>
      <c r="C337" s="1">
        <v>1608</v>
      </c>
      <c r="D337" s="1">
        <v>1474</v>
      </c>
      <c r="E337" s="1">
        <v>3082</v>
      </c>
      <c r="G337" s="1">
        <v>13300.01</v>
      </c>
      <c r="H337" s="1">
        <v>13400</v>
      </c>
      <c r="I337" s="1">
        <v>536</v>
      </c>
      <c r="J337" s="1">
        <v>0</v>
      </c>
      <c r="K337" s="1">
        <v>536</v>
      </c>
    </row>
    <row r="338" spans="1:11" x14ac:dyDescent="0.25">
      <c r="A338" s="1">
        <v>13400.01</v>
      </c>
      <c r="B338" s="1">
        <v>13500</v>
      </c>
      <c r="C338" s="1">
        <v>1620</v>
      </c>
      <c r="D338" s="1">
        <v>1485</v>
      </c>
      <c r="E338" s="1">
        <v>3105</v>
      </c>
      <c r="G338" s="1">
        <v>13400.01</v>
      </c>
      <c r="H338" s="1">
        <v>13500</v>
      </c>
      <c r="I338" s="1">
        <v>540</v>
      </c>
      <c r="J338" s="1">
        <v>0</v>
      </c>
      <c r="K338" s="1">
        <v>540</v>
      </c>
    </row>
    <row r="339" spans="1:11" x14ac:dyDescent="0.25">
      <c r="A339" s="1">
        <v>13500.01</v>
      </c>
      <c r="B339" s="1">
        <v>13600</v>
      </c>
      <c r="C339" s="1">
        <v>1632</v>
      </c>
      <c r="D339" s="1">
        <v>1496</v>
      </c>
      <c r="E339" s="1">
        <v>3128</v>
      </c>
      <c r="G339" s="1">
        <v>13500.01</v>
      </c>
      <c r="H339" s="1">
        <v>13600</v>
      </c>
      <c r="I339" s="1">
        <v>544</v>
      </c>
      <c r="J339" s="1">
        <v>0</v>
      </c>
      <c r="K339" s="1">
        <v>544</v>
      </c>
    </row>
    <row r="340" spans="1:11" x14ac:dyDescent="0.25">
      <c r="A340" s="1">
        <v>13600.01</v>
      </c>
      <c r="B340" s="1">
        <v>13700</v>
      </c>
      <c r="C340" s="1">
        <v>1644</v>
      </c>
      <c r="D340" s="1">
        <v>1507</v>
      </c>
      <c r="E340" s="1">
        <v>3151</v>
      </c>
      <c r="G340" s="1">
        <v>13600.01</v>
      </c>
      <c r="H340" s="1">
        <v>13700</v>
      </c>
      <c r="I340" s="1">
        <v>548</v>
      </c>
      <c r="J340" s="1">
        <v>0</v>
      </c>
      <c r="K340" s="1">
        <v>548</v>
      </c>
    </row>
    <row r="341" spans="1:11" x14ac:dyDescent="0.25">
      <c r="A341" s="1">
        <v>13700.01</v>
      </c>
      <c r="B341" s="1">
        <v>13800</v>
      </c>
      <c r="C341" s="1">
        <v>1656</v>
      </c>
      <c r="D341" s="1">
        <v>1518</v>
      </c>
      <c r="E341" s="1">
        <v>3174</v>
      </c>
      <c r="G341" s="1">
        <v>13700.01</v>
      </c>
      <c r="H341" s="1">
        <v>13800</v>
      </c>
      <c r="I341" s="1">
        <v>552</v>
      </c>
      <c r="J341" s="1">
        <v>0</v>
      </c>
      <c r="K341" s="1">
        <v>552</v>
      </c>
    </row>
    <row r="342" spans="1:11" x14ac:dyDescent="0.25">
      <c r="A342" s="1">
        <v>13800.01</v>
      </c>
      <c r="B342" s="1">
        <v>13900</v>
      </c>
      <c r="C342" s="1">
        <v>1668</v>
      </c>
      <c r="D342" s="1">
        <v>1529</v>
      </c>
      <c r="E342" s="1">
        <v>3197</v>
      </c>
      <c r="G342" s="1">
        <v>13800.01</v>
      </c>
      <c r="H342" s="1">
        <v>13900</v>
      </c>
      <c r="I342" s="1">
        <v>556</v>
      </c>
      <c r="J342" s="1">
        <v>0</v>
      </c>
      <c r="K342" s="1">
        <v>556</v>
      </c>
    </row>
    <row r="343" spans="1:11" x14ac:dyDescent="0.25">
      <c r="A343" s="1">
        <v>13900.01</v>
      </c>
      <c r="B343" s="1">
        <v>14000</v>
      </c>
      <c r="C343" s="1">
        <v>1680</v>
      </c>
      <c r="D343" s="1">
        <v>1540</v>
      </c>
      <c r="E343" s="1">
        <v>3220</v>
      </c>
      <c r="G343" s="1">
        <v>13900.01</v>
      </c>
      <c r="H343" s="1">
        <v>14000</v>
      </c>
      <c r="I343" s="1">
        <v>560</v>
      </c>
      <c r="J343" s="1">
        <v>0</v>
      </c>
      <c r="K343" s="1">
        <v>560</v>
      </c>
    </row>
    <row r="344" spans="1:11" x14ac:dyDescent="0.25">
      <c r="A344" s="1">
        <v>14000.01</v>
      </c>
      <c r="B344" s="1">
        <v>14100</v>
      </c>
      <c r="C344" s="1">
        <v>1692</v>
      </c>
      <c r="D344" s="1">
        <v>1551</v>
      </c>
      <c r="E344" s="1">
        <v>3243</v>
      </c>
      <c r="G344" s="1">
        <v>14000.01</v>
      </c>
      <c r="H344" s="1">
        <v>14100</v>
      </c>
      <c r="I344" s="1">
        <v>564</v>
      </c>
      <c r="J344" s="1">
        <v>0</v>
      </c>
      <c r="K344" s="1">
        <v>564</v>
      </c>
    </row>
    <row r="345" spans="1:11" x14ac:dyDescent="0.25">
      <c r="A345" s="1">
        <v>14100.01</v>
      </c>
      <c r="B345" s="1">
        <v>14200</v>
      </c>
      <c r="C345" s="1">
        <v>1704</v>
      </c>
      <c r="D345" s="1">
        <v>1562</v>
      </c>
      <c r="E345" s="1">
        <v>3266</v>
      </c>
      <c r="G345" s="1">
        <v>14100.01</v>
      </c>
      <c r="H345" s="1">
        <v>14200</v>
      </c>
      <c r="I345" s="1">
        <v>568</v>
      </c>
      <c r="J345" s="1">
        <v>0</v>
      </c>
      <c r="K345" s="1">
        <v>568</v>
      </c>
    </row>
    <row r="346" spans="1:11" x14ac:dyDescent="0.25">
      <c r="A346" s="1">
        <v>14200.01</v>
      </c>
      <c r="B346" s="1">
        <v>14300</v>
      </c>
      <c r="C346" s="1">
        <v>1716</v>
      </c>
      <c r="D346" s="1">
        <v>1573</v>
      </c>
      <c r="E346" s="1">
        <v>3289</v>
      </c>
      <c r="G346" s="1">
        <v>14200.01</v>
      </c>
      <c r="H346" s="1">
        <v>14300</v>
      </c>
      <c r="I346" s="1">
        <v>572</v>
      </c>
      <c r="J346" s="1">
        <v>0</v>
      </c>
      <c r="K346" s="1">
        <v>572</v>
      </c>
    </row>
    <row r="347" spans="1:11" x14ac:dyDescent="0.25">
      <c r="A347" s="1">
        <v>14300.01</v>
      </c>
      <c r="B347" s="1">
        <v>14400</v>
      </c>
      <c r="C347" s="1">
        <v>1728</v>
      </c>
      <c r="D347" s="1">
        <v>1584</v>
      </c>
      <c r="E347" s="1">
        <v>3312</v>
      </c>
      <c r="G347" s="1">
        <v>14300.01</v>
      </c>
      <c r="H347" s="1">
        <v>14400</v>
      </c>
      <c r="I347" s="1">
        <v>576</v>
      </c>
      <c r="J347" s="1">
        <v>0</v>
      </c>
      <c r="K347" s="1">
        <v>576</v>
      </c>
    </row>
    <row r="348" spans="1:11" x14ac:dyDescent="0.25">
      <c r="A348" s="1">
        <v>14400.01</v>
      </c>
      <c r="B348" s="1">
        <v>14500</v>
      </c>
      <c r="C348" s="1">
        <v>1740</v>
      </c>
      <c r="D348" s="1">
        <v>1595</v>
      </c>
      <c r="E348" s="1">
        <v>3335</v>
      </c>
      <c r="G348" s="1">
        <v>14400.01</v>
      </c>
      <c r="H348" s="1">
        <v>14500</v>
      </c>
      <c r="I348" s="1">
        <v>580</v>
      </c>
      <c r="J348" s="1">
        <v>0</v>
      </c>
      <c r="K348" s="1">
        <v>580</v>
      </c>
    </row>
    <row r="349" spans="1:11" x14ac:dyDescent="0.25">
      <c r="A349" s="1">
        <v>14500.01</v>
      </c>
      <c r="B349" s="1">
        <v>14600</v>
      </c>
      <c r="C349" s="1">
        <v>1752</v>
      </c>
      <c r="D349" s="1">
        <v>1606</v>
      </c>
      <c r="E349" s="1">
        <v>3358</v>
      </c>
      <c r="G349" s="1">
        <v>14500.01</v>
      </c>
      <c r="H349" s="1">
        <v>14600</v>
      </c>
      <c r="I349" s="1">
        <v>584</v>
      </c>
      <c r="J349" s="1">
        <v>0</v>
      </c>
      <c r="K349" s="1">
        <v>584</v>
      </c>
    </row>
    <row r="350" spans="1:11" x14ac:dyDescent="0.25">
      <c r="A350" s="1">
        <v>14600.01</v>
      </c>
      <c r="B350" s="1">
        <v>14700</v>
      </c>
      <c r="C350" s="1">
        <v>1764</v>
      </c>
      <c r="D350" s="1">
        <v>1617</v>
      </c>
      <c r="E350" s="1">
        <v>3381</v>
      </c>
      <c r="G350" s="1">
        <v>14600.01</v>
      </c>
      <c r="H350" s="1">
        <v>14700</v>
      </c>
      <c r="I350" s="1">
        <v>588</v>
      </c>
      <c r="J350" s="1">
        <v>0</v>
      </c>
      <c r="K350" s="1">
        <v>588</v>
      </c>
    </row>
    <row r="351" spans="1:11" x14ac:dyDescent="0.25">
      <c r="A351" s="1">
        <v>14700.01</v>
      </c>
      <c r="B351" s="1">
        <v>14800</v>
      </c>
      <c r="C351" s="1">
        <v>1776</v>
      </c>
      <c r="D351" s="1">
        <v>1628</v>
      </c>
      <c r="E351" s="1">
        <v>3404</v>
      </c>
      <c r="G351" s="1">
        <v>14700.01</v>
      </c>
      <c r="H351" s="1">
        <v>14800</v>
      </c>
      <c r="I351" s="1">
        <v>592</v>
      </c>
      <c r="J351" s="1">
        <v>0</v>
      </c>
      <c r="K351" s="1">
        <v>592</v>
      </c>
    </row>
    <row r="352" spans="1:11" x14ac:dyDescent="0.25">
      <c r="A352" s="1">
        <v>14800.01</v>
      </c>
      <c r="B352" s="1">
        <v>14900</v>
      </c>
      <c r="C352" s="1">
        <v>1788</v>
      </c>
      <c r="D352" s="1">
        <v>1639</v>
      </c>
      <c r="E352" s="1">
        <v>3427</v>
      </c>
      <c r="G352" s="1">
        <v>14800.01</v>
      </c>
      <c r="H352" s="1">
        <v>14900</v>
      </c>
      <c r="I352" s="1">
        <v>596</v>
      </c>
      <c r="J352" s="1">
        <v>0</v>
      </c>
      <c r="K352" s="1">
        <v>596</v>
      </c>
    </row>
    <row r="353" spans="1:11" x14ac:dyDescent="0.25">
      <c r="A353" s="1">
        <v>14900.01</v>
      </c>
      <c r="B353" s="1">
        <v>15000</v>
      </c>
      <c r="C353" s="1">
        <v>1800</v>
      </c>
      <c r="D353" s="1">
        <v>1650</v>
      </c>
      <c r="E353" s="1">
        <v>3450</v>
      </c>
      <c r="G353" s="1">
        <v>14900.01</v>
      </c>
      <c r="H353" s="1">
        <v>15000</v>
      </c>
      <c r="I353" s="1">
        <v>600</v>
      </c>
      <c r="J353" s="1">
        <v>0</v>
      </c>
      <c r="K353" s="1">
        <v>600</v>
      </c>
    </row>
    <row r="354" spans="1:11" x14ac:dyDescent="0.25">
      <c r="A354" s="1">
        <v>15000.01</v>
      </c>
      <c r="B354" s="1">
        <v>15100</v>
      </c>
      <c r="C354" s="1">
        <v>1812</v>
      </c>
      <c r="D354" s="1">
        <v>1661</v>
      </c>
      <c r="E354" s="1">
        <v>3473</v>
      </c>
      <c r="G354" s="1">
        <v>15000.01</v>
      </c>
      <c r="H354" s="1">
        <v>15100</v>
      </c>
      <c r="I354" s="1">
        <v>604</v>
      </c>
      <c r="J354" s="1">
        <v>0</v>
      </c>
      <c r="K354" s="1">
        <v>604</v>
      </c>
    </row>
    <row r="355" spans="1:11" x14ac:dyDescent="0.25">
      <c r="A355" s="1">
        <v>15100.01</v>
      </c>
      <c r="B355" s="1">
        <v>15200</v>
      </c>
      <c r="C355" s="1">
        <v>1824</v>
      </c>
      <c r="D355" s="1">
        <v>1672</v>
      </c>
      <c r="E355" s="1">
        <v>3496</v>
      </c>
      <c r="G355" s="1">
        <v>15100.01</v>
      </c>
      <c r="H355" s="1">
        <v>15200</v>
      </c>
      <c r="I355" s="1">
        <v>608</v>
      </c>
      <c r="J355" s="1">
        <v>0</v>
      </c>
      <c r="K355" s="1">
        <v>608</v>
      </c>
    </row>
    <row r="356" spans="1:11" x14ac:dyDescent="0.25">
      <c r="A356" s="1">
        <v>15200.01</v>
      </c>
      <c r="B356" s="1">
        <v>15300</v>
      </c>
      <c r="C356" s="1">
        <v>1836</v>
      </c>
      <c r="D356" s="1">
        <v>1683</v>
      </c>
      <c r="E356" s="1">
        <v>3519</v>
      </c>
      <c r="G356" s="1">
        <v>15200.01</v>
      </c>
      <c r="H356" s="1">
        <v>15300</v>
      </c>
      <c r="I356" s="1">
        <v>612</v>
      </c>
      <c r="J356" s="1">
        <v>0</v>
      </c>
      <c r="K356" s="1">
        <v>612</v>
      </c>
    </row>
    <row r="357" spans="1:11" x14ac:dyDescent="0.25">
      <c r="A357" s="1">
        <v>15300.01</v>
      </c>
      <c r="B357" s="1">
        <v>15400</v>
      </c>
      <c r="C357" s="1">
        <v>1848</v>
      </c>
      <c r="D357" s="1">
        <v>1694</v>
      </c>
      <c r="E357" s="1">
        <v>3542</v>
      </c>
      <c r="G357" s="1">
        <v>15300.01</v>
      </c>
      <c r="H357" s="1">
        <v>15400</v>
      </c>
      <c r="I357" s="1">
        <v>616</v>
      </c>
      <c r="J357" s="1">
        <v>0</v>
      </c>
      <c r="K357" s="1">
        <v>616</v>
      </c>
    </row>
    <row r="358" spans="1:11" x14ac:dyDescent="0.25">
      <c r="A358" s="1">
        <v>15400.01</v>
      </c>
      <c r="B358" s="1">
        <v>15500</v>
      </c>
      <c r="C358" s="1">
        <v>1860</v>
      </c>
      <c r="D358" s="1">
        <v>1705</v>
      </c>
      <c r="E358" s="1">
        <v>3565</v>
      </c>
      <c r="G358" s="1">
        <v>15400.01</v>
      </c>
      <c r="H358" s="1">
        <v>15500</v>
      </c>
      <c r="I358" s="1">
        <v>620</v>
      </c>
      <c r="J358" s="1">
        <v>0</v>
      </c>
      <c r="K358" s="1">
        <v>620</v>
      </c>
    </row>
    <row r="359" spans="1:11" x14ac:dyDescent="0.25">
      <c r="A359" s="1">
        <v>15500.01</v>
      </c>
      <c r="B359" s="1">
        <v>15600</v>
      </c>
      <c r="C359" s="1">
        <v>1872</v>
      </c>
      <c r="D359" s="1">
        <v>1716</v>
      </c>
      <c r="E359" s="1">
        <v>3588</v>
      </c>
      <c r="G359" s="1">
        <v>15500.01</v>
      </c>
      <c r="H359" s="1">
        <v>15600</v>
      </c>
      <c r="I359" s="1">
        <v>624</v>
      </c>
      <c r="J359" s="1">
        <v>0</v>
      </c>
      <c r="K359" s="1">
        <v>624</v>
      </c>
    </row>
    <row r="360" spans="1:11" x14ac:dyDescent="0.25">
      <c r="A360" s="1">
        <v>15600.01</v>
      </c>
      <c r="B360" s="1">
        <v>15700</v>
      </c>
      <c r="C360" s="1">
        <v>1884</v>
      </c>
      <c r="D360" s="1">
        <v>1727</v>
      </c>
      <c r="E360" s="1">
        <v>3611</v>
      </c>
      <c r="G360" s="1">
        <v>15600.01</v>
      </c>
      <c r="H360" s="1">
        <v>15700</v>
      </c>
      <c r="I360" s="1">
        <v>628</v>
      </c>
      <c r="J360" s="1">
        <v>0</v>
      </c>
      <c r="K360" s="1">
        <v>628</v>
      </c>
    </row>
    <row r="361" spans="1:11" x14ac:dyDescent="0.25">
      <c r="A361" s="1">
        <v>15700.01</v>
      </c>
      <c r="B361" s="1">
        <v>15800</v>
      </c>
      <c r="C361" s="1">
        <v>1896</v>
      </c>
      <c r="D361" s="1">
        <v>1738</v>
      </c>
      <c r="E361" s="1">
        <v>3634</v>
      </c>
      <c r="G361" s="1">
        <v>15700.01</v>
      </c>
      <c r="H361" s="1">
        <v>15800</v>
      </c>
      <c r="I361" s="1">
        <v>632</v>
      </c>
      <c r="J361" s="1">
        <v>0</v>
      </c>
      <c r="K361" s="1">
        <v>632</v>
      </c>
    </row>
    <row r="362" spans="1:11" x14ac:dyDescent="0.25">
      <c r="A362" s="1">
        <v>15800.01</v>
      </c>
      <c r="B362" s="1">
        <v>15900</v>
      </c>
      <c r="C362" s="1">
        <v>1908</v>
      </c>
      <c r="D362" s="1">
        <v>1749</v>
      </c>
      <c r="E362" s="1">
        <v>3657</v>
      </c>
      <c r="G362" s="1">
        <v>15800.01</v>
      </c>
      <c r="H362" s="1">
        <v>15900</v>
      </c>
      <c r="I362" s="1">
        <v>636</v>
      </c>
      <c r="J362" s="1">
        <v>0</v>
      </c>
      <c r="K362" s="1">
        <v>636</v>
      </c>
    </row>
    <row r="363" spans="1:11" x14ac:dyDescent="0.25">
      <c r="A363" s="1">
        <v>15900.01</v>
      </c>
      <c r="B363" s="1">
        <v>16000</v>
      </c>
      <c r="C363" s="1">
        <v>1920</v>
      </c>
      <c r="D363" s="1">
        <v>1760</v>
      </c>
      <c r="E363" s="1">
        <v>3680</v>
      </c>
      <c r="G363" s="1">
        <v>15900.01</v>
      </c>
      <c r="H363" s="1">
        <v>16000</v>
      </c>
      <c r="I363" s="1">
        <v>640</v>
      </c>
      <c r="J363" s="1">
        <v>0</v>
      </c>
      <c r="K363" s="1">
        <v>640</v>
      </c>
    </row>
    <row r="364" spans="1:11" x14ac:dyDescent="0.25">
      <c r="A364" s="1">
        <v>16000.01</v>
      </c>
      <c r="B364" s="1">
        <v>16100</v>
      </c>
      <c r="C364" s="1">
        <v>1932</v>
      </c>
      <c r="D364" s="1">
        <v>1771</v>
      </c>
      <c r="E364" s="1">
        <v>3703</v>
      </c>
      <c r="G364" s="1">
        <v>16000.01</v>
      </c>
      <c r="H364" s="1">
        <v>16100</v>
      </c>
      <c r="I364" s="1">
        <v>644</v>
      </c>
      <c r="J364" s="1">
        <v>0</v>
      </c>
      <c r="K364" s="1">
        <v>644</v>
      </c>
    </row>
    <row r="365" spans="1:11" x14ac:dyDescent="0.25">
      <c r="A365" s="1">
        <v>16100.01</v>
      </c>
      <c r="B365" s="1">
        <v>16200</v>
      </c>
      <c r="C365" s="1">
        <v>1944</v>
      </c>
      <c r="D365" s="1">
        <v>1782</v>
      </c>
      <c r="E365" s="1">
        <v>3726</v>
      </c>
      <c r="G365" s="1">
        <v>16100.01</v>
      </c>
      <c r="H365" s="1">
        <v>16200</v>
      </c>
      <c r="I365" s="1">
        <v>648</v>
      </c>
      <c r="J365" s="1">
        <v>0</v>
      </c>
      <c r="K365" s="1">
        <v>648</v>
      </c>
    </row>
    <row r="366" spans="1:11" x14ac:dyDescent="0.25">
      <c r="A366" s="1">
        <v>16200.01</v>
      </c>
      <c r="B366" s="1">
        <v>16300</v>
      </c>
      <c r="C366" s="1">
        <v>1956</v>
      </c>
      <c r="D366" s="1">
        <v>1793</v>
      </c>
      <c r="E366" s="1">
        <v>3749</v>
      </c>
      <c r="G366" s="1">
        <v>16200.01</v>
      </c>
      <c r="H366" s="1">
        <v>16300</v>
      </c>
      <c r="I366" s="1">
        <v>652</v>
      </c>
      <c r="J366" s="1">
        <v>0</v>
      </c>
      <c r="K366" s="1">
        <v>652</v>
      </c>
    </row>
    <row r="367" spans="1:11" x14ac:dyDescent="0.25">
      <c r="A367" s="1">
        <v>16300.01</v>
      </c>
      <c r="B367" s="1">
        <v>16400</v>
      </c>
      <c r="C367" s="1">
        <v>1968</v>
      </c>
      <c r="D367" s="1">
        <v>1804</v>
      </c>
      <c r="E367" s="1">
        <v>3772</v>
      </c>
      <c r="G367" s="1">
        <v>16300.01</v>
      </c>
      <c r="H367" s="1">
        <v>16400</v>
      </c>
      <c r="I367" s="1">
        <v>656</v>
      </c>
      <c r="J367" s="1">
        <v>0</v>
      </c>
      <c r="K367" s="1">
        <v>656</v>
      </c>
    </row>
    <row r="368" spans="1:11" x14ac:dyDescent="0.25">
      <c r="A368" s="1">
        <v>16400.009999999998</v>
      </c>
      <c r="B368" s="1">
        <v>16500</v>
      </c>
      <c r="C368" s="1">
        <v>1980</v>
      </c>
      <c r="D368" s="1">
        <v>1815</v>
      </c>
      <c r="E368" s="1">
        <v>3795</v>
      </c>
      <c r="G368" s="1">
        <v>16400.009999999998</v>
      </c>
      <c r="H368" s="1">
        <v>16500</v>
      </c>
      <c r="I368" s="1">
        <v>660</v>
      </c>
      <c r="J368" s="1">
        <v>0</v>
      </c>
      <c r="K368" s="1">
        <v>660</v>
      </c>
    </row>
    <row r="369" spans="1:11" x14ac:dyDescent="0.25">
      <c r="A369" s="1">
        <v>16500.009999999998</v>
      </c>
      <c r="B369" s="1">
        <v>16600</v>
      </c>
      <c r="C369" s="1">
        <v>1992</v>
      </c>
      <c r="D369" s="1">
        <v>1826</v>
      </c>
      <c r="E369" s="1">
        <v>3818</v>
      </c>
      <c r="G369" s="1">
        <v>16500.009999999998</v>
      </c>
      <c r="H369" s="1">
        <v>16600</v>
      </c>
      <c r="I369" s="1">
        <v>664</v>
      </c>
      <c r="J369" s="1">
        <v>0</v>
      </c>
      <c r="K369" s="1">
        <v>664</v>
      </c>
    </row>
    <row r="370" spans="1:11" x14ac:dyDescent="0.25">
      <c r="A370" s="1">
        <v>16600.009999999998</v>
      </c>
      <c r="B370" s="1">
        <v>16700</v>
      </c>
      <c r="C370" s="1">
        <v>2004</v>
      </c>
      <c r="D370" s="1">
        <v>1837</v>
      </c>
      <c r="E370" s="1">
        <v>3841</v>
      </c>
      <c r="G370" s="1">
        <v>16600.009999999998</v>
      </c>
      <c r="H370" s="1">
        <v>16700</v>
      </c>
      <c r="I370" s="1">
        <v>668</v>
      </c>
      <c r="J370" s="1">
        <v>0</v>
      </c>
      <c r="K370" s="1">
        <v>668</v>
      </c>
    </row>
    <row r="371" spans="1:11" x14ac:dyDescent="0.25">
      <c r="A371" s="1">
        <v>16700.009999999998</v>
      </c>
      <c r="B371" s="1">
        <v>16800</v>
      </c>
      <c r="C371" s="1">
        <v>2016</v>
      </c>
      <c r="D371" s="1">
        <v>1848</v>
      </c>
      <c r="E371" s="1">
        <v>3864</v>
      </c>
      <c r="G371" s="1">
        <v>16700.009999999998</v>
      </c>
      <c r="H371" s="1">
        <v>16800</v>
      </c>
      <c r="I371" s="1">
        <v>672</v>
      </c>
      <c r="J371" s="1">
        <v>0</v>
      </c>
      <c r="K371" s="1">
        <v>672</v>
      </c>
    </row>
    <row r="372" spans="1:11" x14ac:dyDescent="0.25">
      <c r="A372" s="1">
        <v>16800.009999999998</v>
      </c>
      <c r="B372" s="1">
        <v>16900</v>
      </c>
      <c r="C372" s="1">
        <v>2028</v>
      </c>
      <c r="D372" s="1">
        <v>1859</v>
      </c>
      <c r="E372" s="1">
        <v>3887</v>
      </c>
      <c r="G372" s="1">
        <v>16800.009999999998</v>
      </c>
      <c r="H372" s="1">
        <v>16900</v>
      </c>
      <c r="I372" s="1">
        <v>676</v>
      </c>
      <c r="J372" s="1">
        <v>0</v>
      </c>
      <c r="K372" s="1">
        <v>676</v>
      </c>
    </row>
    <row r="373" spans="1:11" x14ac:dyDescent="0.25">
      <c r="A373" s="1">
        <v>16900.009999999998</v>
      </c>
      <c r="B373" s="1">
        <v>17000</v>
      </c>
      <c r="C373" s="1">
        <v>2040</v>
      </c>
      <c r="D373" s="1">
        <v>1870</v>
      </c>
      <c r="E373" s="1">
        <v>3910</v>
      </c>
      <c r="G373" s="1">
        <v>16900.009999999998</v>
      </c>
      <c r="H373" s="1">
        <v>17000</v>
      </c>
      <c r="I373" s="1">
        <v>680</v>
      </c>
      <c r="J373" s="1">
        <v>0</v>
      </c>
      <c r="K373" s="1">
        <v>680</v>
      </c>
    </row>
    <row r="374" spans="1:11" x14ac:dyDescent="0.25">
      <c r="A374" s="1">
        <v>17000.009999999998</v>
      </c>
      <c r="B374" s="1">
        <v>17100</v>
      </c>
      <c r="C374" s="1">
        <v>2052</v>
      </c>
      <c r="D374" s="1">
        <v>1881</v>
      </c>
      <c r="E374" s="1">
        <v>3933</v>
      </c>
      <c r="G374" s="1">
        <v>17000.009999999998</v>
      </c>
      <c r="H374" s="1">
        <v>17100</v>
      </c>
      <c r="I374" s="1">
        <v>684</v>
      </c>
      <c r="J374" s="1">
        <v>0</v>
      </c>
      <c r="K374" s="1">
        <v>684</v>
      </c>
    </row>
    <row r="375" spans="1:11" x14ac:dyDescent="0.25">
      <c r="A375" s="1">
        <v>17100.009999999998</v>
      </c>
      <c r="B375" s="1">
        <v>17200</v>
      </c>
      <c r="C375" s="1">
        <v>2064</v>
      </c>
      <c r="D375" s="1">
        <v>1892</v>
      </c>
      <c r="E375" s="1">
        <v>3956</v>
      </c>
      <c r="G375" s="1">
        <v>17100.009999999998</v>
      </c>
      <c r="H375" s="1">
        <v>17200</v>
      </c>
      <c r="I375" s="1">
        <v>688</v>
      </c>
      <c r="J375" s="1">
        <v>0</v>
      </c>
      <c r="K375" s="1">
        <v>688</v>
      </c>
    </row>
    <row r="376" spans="1:11" x14ac:dyDescent="0.25">
      <c r="A376" s="1">
        <v>17200.009999999998</v>
      </c>
      <c r="B376" s="1">
        <v>17300</v>
      </c>
      <c r="C376" s="1">
        <v>2076</v>
      </c>
      <c r="D376" s="1">
        <v>1903</v>
      </c>
      <c r="E376" s="1">
        <v>3979</v>
      </c>
      <c r="G376" s="1">
        <v>17200.009999999998</v>
      </c>
      <c r="H376" s="1">
        <v>17300</v>
      </c>
      <c r="I376" s="1">
        <v>692</v>
      </c>
      <c r="J376" s="1">
        <v>0</v>
      </c>
      <c r="K376" s="1">
        <v>692</v>
      </c>
    </row>
    <row r="377" spans="1:11" x14ac:dyDescent="0.25">
      <c r="A377" s="1">
        <v>17300.009999999998</v>
      </c>
      <c r="B377" s="1">
        <v>17400</v>
      </c>
      <c r="C377" s="1">
        <v>2088</v>
      </c>
      <c r="D377" s="1">
        <v>1914</v>
      </c>
      <c r="E377" s="1">
        <v>4002</v>
      </c>
      <c r="G377" s="1">
        <v>17300.009999999998</v>
      </c>
      <c r="H377" s="1">
        <v>17400</v>
      </c>
      <c r="I377" s="1">
        <v>696</v>
      </c>
      <c r="J377" s="1">
        <v>0</v>
      </c>
      <c r="K377" s="1">
        <v>696</v>
      </c>
    </row>
    <row r="378" spans="1:11" x14ac:dyDescent="0.25">
      <c r="A378" s="1">
        <v>17400.009999999998</v>
      </c>
      <c r="B378" s="1">
        <v>17500</v>
      </c>
      <c r="C378" s="1">
        <v>2100</v>
      </c>
      <c r="D378" s="1">
        <v>1925</v>
      </c>
      <c r="E378" s="1">
        <v>4025</v>
      </c>
      <c r="G378" s="1">
        <v>17400.009999999998</v>
      </c>
      <c r="H378" s="1">
        <v>17500</v>
      </c>
      <c r="I378" s="1">
        <v>700</v>
      </c>
      <c r="J378" s="1">
        <v>0</v>
      </c>
      <c r="K378" s="1">
        <v>700</v>
      </c>
    </row>
    <row r="379" spans="1:11" x14ac:dyDescent="0.25">
      <c r="A379" s="1">
        <v>17500.009999999998</v>
      </c>
      <c r="B379" s="1">
        <v>17600</v>
      </c>
      <c r="C379" s="1">
        <v>2112</v>
      </c>
      <c r="D379" s="1">
        <v>1936</v>
      </c>
      <c r="E379" s="1">
        <v>4048</v>
      </c>
      <c r="G379" s="1">
        <v>17500.009999999998</v>
      </c>
      <c r="H379" s="1">
        <v>17600</v>
      </c>
      <c r="I379" s="1">
        <v>704</v>
      </c>
      <c r="J379" s="1">
        <v>0</v>
      </c>
      <c r="K379" s="1">
        <v>704</v>
      </c>
    </row>
    <row r="380" spans="1:11" x14ac:dyDescent="0.25">
      <c r="A380" s="1">
        <v>17600.009999999998</v>
      </c>
      <c r="B380" s="1">
        <v>17700</v>
      </c>
      <c r="C380" s="1">
        <v>2124</v>
      </c>
      <c r="D380" s="1">
        <v>1947</v>
      </c>
      <c r="E380" s="1">
        <v>4071</v>
      </c>
      <c r="G380" s="1">
        <v>17600.009999999998</v>
      </c>
      <c r="H380" s="1">
        <v>17700</v>
      </c>
      <c r="I380" s="1">
        <v>708</v>
      </c>
      <c r="J380" s="1">
        <v>0</v>
      </c>
      <c r="K380" s="1">
        <v>708</v>
      </c>
    </row>
    <row r="381" spans="1:11" x14ac:dyDescent="0.25">
      <c r="A381" s="1">
        <v>17700.009999999998</v>
      </c>
      <c r="B381" s="1">
        <v>17800</v>
      </c>
      <c r="C381" s="1">
        <v>2136</v>
      </c>
      <c r="D381" s="1">
        <v>1958</v>
      </c>
      <c r="E381" s="1">
        <v>4094</v>
      </c>
      <c r="G381" s="1">
        <v>17700.009999999998</v>
      </c>
      <c r="H381" s="1">
        <v>17800</v>
      </c>
      <c r="I381" s="1">
        <v>712</v>
      </c>
      <c r="J381" s="1">
        <v>0</v>
      </c>
      <c r="K381" s="1">
        <v>712</v>
      </c>
    </row>
    <row r="382" spans="1:11" x14ac:dyDescent="0.25">
      <c r="A382" s="1">
        <v>17800.009999999998</v>
      </c>
      <c r="B382" s="1">
        <v>17900</v>
      </c>
      <c r="C382" s="1">
        <v>2148</v>
      </c>
      <c r="D382" s="1">
        <v>1969</v>
      </c>
      <c r="E382" s="1">
        <v>4117</v>
      </c>
      <c r="G382" s="1">
        <v>17800.009999999998</v>
      </c>
      <c r="H382" s="1">
        <v>17900</v>
      </c>
      <c r="I382" s="1">
        <v>716</v>
      </c>
      <c r="J382" s="1">
        <v>0</v>
      </c>
      <c r="K382" s="1">
        <v>716</v>
      </c>
    </row>
    <row r="383" spans="1:11" x14ac:dyDescent="0.25">
      <c r="A383" s="1">
        <v>17900.009999999998</v>
      </c>
      <c r="B383" s="1">
        <v>18000</v>
      </c>
      <c r="C383" s="1">
        <v>2160</v>
      </c>
      <c r="D383" s="1">
        <v>1980</v>
      </c>
      <c r="E383" s="1">
        <v>4140</v>
      </c>
      <c r="G383" s="1">
        <v>17900.009999999998</v>
      </c>
      <c r="H383" s="1">
        <v>18000</v>
      </c>
      <c r="I383" s="1">
        <v>720</v>
      </c>
      <c r="J383" s="1">
        <v>0</v>
      </c>
      <c r="K383" s="1">
        <v>720</v>
      </c>
    </row>
    <row r="384" spans="1:11" x14ac:dyDescent="0.25">
      <c r="A384" s="1">
        <v>18000.009999999998</v>
      </c>
      <c r="B384" s="1">
        <v>18100</v>
      </c>
      <c r="C384" s="1">
        <v>2172</v>
      </c>
      <c r="D384" s="1">
        <v>1991</v>
      </c>
      <c r="E384" s="1">
        <v>4163</v>
      </c>
      <c r="G384" s="1">
        <v>18000.009999999998</v>
      </c>
      <c r="H384" s="1">
        <v>18100</v>
      </c>
      <c r="I384" s="1">
        <v>724</v>
      </c>
      <c r="J384" s="1">
        <v>0</v>
      </c>
      <c r="K384" s="1">
        <v>724</v>
      </c>
    </row>
    <row r="385" spans="1:11" x14ac:dyDescent="0.25">
      <c r="A385" s="1">
        <v>18100.009999999998</v>
      </c>
      <c r="B385" s="1">
        <v>18200</v>
      </c>
      <c r="C385" s="1">
        <v>2184</v>
      </c>
      <c r="D385" s="1">
        <v>2002</v>
      </c>
      <c r="E385" s="1">
        <v>4186</v>
      </c>
      <c r="G385" s="1">
        <v>18100.009999999998</v>
      </c>
      <c r="H385" s="1">
        <v>18200</v>
      </c>
      <c r="I385" s="1">
        <v>728</v>
      </c>
      <c r="J385" s="1">
        <v>0</v>
      </c>
      <c r="K385" s="1">
        <v>728</v>
      </c>
    </row>
    <row r="386" spans="1:11" x14ac:dyDescent="0.25">
      <c r="A386" s="1">
        <v>18200.009999999998</v>
      </c>
      <c r="B386" s="1">
        <v>18300</v>
      </c>
      <c r="C386" s="1">
        <v>2196</v>
      </c>
      <c r="D386" s="1">
        <v>2013</v>
      </c>
      <c r="E386" s="1">
        <v>4209</v>
      </c>
      <c r="G386" s="1">
        <v>18200.009999999998</v>
      </c>
      <c r="H386" s="1">
        <v>18300</v>
      </c>
      <c r="I386" s="1">
        <v>732</v>
      </c>
      <c r="J386" s="1">
        <v>0</v>
      </c>
      <c r="K386" s="1">
        <v>732</v>
      </c>
    </row>
    <row r="387" spans="1:11" x14ac:dyDescent="0.25">
      <c r="A387" s="1">
        <v>18300.009999999998</v>
      </c>
      <c r="B387" s="1">
        <v>18400</v>
      </c>
      <c r="C387" s="1">
        <v>2208</v>
      </c>
      <c r="D387" s="1">
        <v>2024</v>
      </c>
      <c r="E387" s="1">
        <v>4232</v>
      </c>
      <c r="G387" s="1">
        <v>18300.009999999998</v>
      </c>
      <c r="H387" s="1">
        <v>18400</v>
      </c>
      <c r="I387" s="1">
        <v>736</v>
      </c>
      <c r="J387" s="1">
        <v>0</v>
      </c>
      <c r="K387" s="1">
        <v>736</v>
      </c>
    </row>
    <row r="388" spans="1:11" x14ac:dyDescent="0.25">
      <c r="A388" s="1">
        <v>18400.009999999998</v>
      </c>
      <c r="B388" s="1">
        <v>18500</v>
      </c>
      <c r="C388" s="1">
        <v>2220</v>
      </c>
      <c r="D388" s="1">
        <v>2035</v>
      </c>
      <c r="E388" s="1">
        <v>4255</v>
      </c>
      <c r="G388" s="1">
        <v>18400.009999999998</v>
      </c>
      <c r="H388" s="1">
        <v>18500</v>
      </c>
      <c r="I388" s="1">
        <v>740</v>
      </c>
      <c r="J388" s="1">
        <v>0</v>
      </c>
      <c r="K388" s="1">
        <v>740</v>
      </c>
    </row>
    <row r="389" spans="1:11" x14ac:dyDescent="0.25">
      <c r="A389" s="1">
        <v>18500.009999999998</v>
      </c>
      <c r="B389" s="1">
        <v>18600</v>
      </c>
      <c r="C389" s="1">
        <v>2232</v>
      </c>
      <c r="D389" s="1">
        <v>2046</v>
      </c>
      <c r="E389" s="1">
        <v>4278</v>
      </c>
      <c r="G389" s="1">
        <v>18500.009999999998</v>
      </c>
      <c r="H389" s="1">
        <v>18600</v>
      </c>
      <c r="I389" s="1">
        <v>744</v>
      </c>
      <c r="J389" s="1">
        <v>0</v>
      </c>
      <c r="K389" s="1">
        <v>744</v>
      </c>
    </row>
    <row r="390" spans="1:11" x14ac:dyDescent="0.25">
      <c r="A390" s="1">
        <v>18600.009999999998</v>
      </c>
      <c r="B390" s="1">
        <v>18700</v>
      </c>
      <c r="C390" s="1">
        <v>2244</v>
      </c>
      <c r="D390" s="1">
        <v>2057</v>
      </c>
      <c r="E390" s="1">
        <v>4301</v>
      </c>
      <c r="G390" s="1">
        <v>18600.009999999998</v>
      </c>
      <c r="H390" s="1">
        <v>18700</v>
      </c>
      <c r="I390" s="1">
        <v>748</v>
      </c>
      <c r="J390" s="1">
        <v>0</v>
      </c>
      <c r="K390" s="1">
        <v>748</v>
      </c>
    </row>
    <row r="391" spans="1:11" x14ac:dyDescent="0.25">
      <c r="A391" s="1">
        <v>18700.009999999998</v>
      </c>
      <c r="B391" s="1">
        <v>18800</v>
      </c>
      <c r="C391" s="1">
        <v>2256</v>
      </c>
      <c r="D391" s="1">
        <v>2068</v>
      </c>
      <c r="E391" s="1">
        <v>4324</v>
      </c>
      <c r="G391" s="1">
        <v>18700.009999999998</v>
      </c>
      <c r="H391" s="1">
        <v>18800</v>
      </c>
      <c r="I391" s="1">
        <v>752</v>
      </c>
      <c r="J391" s="1">
        <v>0</v>
      </c>
      <c r="K391" s="1">
        <v>752</v>
      </c>
    </row>
    <row r="392" spans="1:11" x14ac:dyDescent="0.25">
      <c r="A392" s="1">
        <v>18800.009999999998</v>
      </c>
      <c r="B392" s="1">
        <v>18900</v>
      </c>
      <c r="C392" s="1">
        <v>2268</v>
      </c>
      <c r="D392" s="1">
        <v>2079</v>
      </c>
      <c r="E392" s="1">
        <v>4347</v>
      </c>
      <c r="G392" s="1">
        <v>18800.009999999998</v>
      </c>
      <c r="H392" s="1">
        <v>18900</v>
      </c>
      <c r="I392" s="1">
        <v>756</v>
      </c>
      <c r="J392" s="1">
        <v>0</v>
      </c>
      <c r="K392" s="1">
        <v>756</v>
      </c>
    </row>
    <row r="393" spans="1:11" x14ac:dyDescent="0.25">
      <c r="A393" s="1">
        <v>18900.009999999998</v>
      </c>
      <c r="B393" s="1">
        <v>19000</v>
      </c>
      <c r="C393" s="1">
        <v>2280</v>
      </c>
      <c r="D393" s="1">
        <v>2090</v>
      </c>
      <c r="E393" s="1">
        <v>4370</v>
      </c>
      <c r="G393" s="1">
        <v>18900.009999999998</v>
      </c>
      <c r="H393" s="1">
        <v>19000</v>
      </c>
      <c r="I393" s="1">
        <v>760</v>
      </c>
      <c r="J393" s="1">
        <v>0</v>
      </c>
      <c r="K393" s="1">
        <v>760</v>
      </c>
    </row>
    <row r="394" spans="1:11" x14ac:dyDescent="0.25">
      <c r="A394" s="1">
        <v>19000.009999999998</v>
      </c>
      <c r="B394" s="1">
        <v>19100</v>
      </c>
      <c r="C394" s="1">
        <v>2292</v>
      </c>
      <c r="D394" s="1">
        <v>2101</v>
      </c>
      <c r="E394" s="1">
        <v>4393</v>
      </c>
      <c r="G394" s="1">
        <v>19000.009999999998</v>
      </c>
      <c r="H394" s="1">
        <v>19100</v>
      </c>
      <c r="I394" s="1">
        <v>764</v>
      </c>
      <c r="J394" s="1">
        <v>0</v>
      </c>
      <c r="K394" s="1">
        <v>764</v>
      </c>
    </row>
    <row r="395" spans="1:11" x14ac:dyDescent="0.25">
      <c r="A395" s="1">
        <v>19100.009999999998</v>
      </c>
      <c r="B395" s="1">
        <v>19200</v>
      </c>
      <c r="C395" s="1">
        <v>2304</v>
      </c>
      <c r="D395" s="1">
        <v>2112</v>
      </c>
      <c r="E395" s="1">
        <v>4416</v>
      </c>
      <c r="G395" s="1">
        <v>19100.009999999998</v>
      </c>
      <c r="H395" s="1">
        <v>19200</v>
      </c>
      <c r="I395" s="1">
        <v>768</v>
      </c>
      <c r="J395" s="1">
        <v>0</v>
      </c>
      <c r="K395" s="1">
        <v>768</v>
      </c>
    </row>
    <row r="396" spans="1:11" x14ac:dyDescent="0.25">
      <c r="A396" s="1">
        <v>19200.009999999998</v>
      </c>
      <c r="B396" s="1">
        <v>19300</v>
      </c>
      <c r="C396" s="1">
        <v>2316</v>
      </c>
      <c r="D396" s="1">
        <v>2123</v>
      </c>
      <c r="E396" s="1">
        <v>4439</v>
      </c>
      <c r="G396" s="1">
        <v>19200.009999999998</v>
      </c>
      <c r="H396" s="1">
        <v>19300</v>
      </c>
      <c r="I396" s="1">
        <v>772</v>
      </c>
      <c r="J396" s="1">
        <v>0</v>
      </c>
      <c r="K396" s="1">
        <v>772</v>
      </c>
    </row>
    <row r="397" spans="1:11" x14ac:dyDescent="0.25">
      <c r="A397" s="1">
        <v>19300.009999999998</v>
      </c>
      <c r="B397" s="1">
        <v>19400</v>
      </c>
      <c r="C397" s="1">
        <v>2328</v>
      </c>
      <c r="D397" s="1">
        <v>2134</v>
      </c>
      <c r="E397" s="1">
        <v>4462</v>
      </c>
      <c r="G397" s="1">
        <v>19300.009999999998</v>
      </c>
      <c r="H397" s="1">
        <v>19400</v>
      </c>
      <c r="I397" s="1">
        <v>776</v>
      </c>
      <c r="J397" s="1">
        <v>0</v>
      </c>
      <c r="K397" s="1">
        <v>776</v>
      </c>
    </row>
    <row r="398" spans="1:11" x14ac:dyDescent="0.25">
      <c r="A398" s="1">
        <v>19400.009999999998</v>
      </c>
      <c r="B398" s="1">
        <v>19500</v>
      </c>
      <c r="C398" s="1">
        <v>2340</v>
      </c>
      <c r="D398" s="1">
        <v>2145</v>
      </c>
      <c r="E398" s="1">
        <v>4485</v>
      </c>
      <c r="G398" s="1">
        <v>19400.009999999998</v>
      </c>
      <c r="H398" s="1">
        <v>19500</v>
      </c>
      <c r="I398" s="1">
        <v>780</v>
      </c>
      <c r="J398" s="1">
        <v>0</v>
      </c>
      <c r="K398" s="1">
        <v>780</v>
      </c>
    </row>
    <row r="399" spans="1:11" x14ac:dyDescent="0.25">
      <c r="A399" s="1">
        <v>19500.009999999998</v>
      </c>
      <c r="B399" s="1">
        <v>19600</v>
      </c>
      <c r="C399" s="1">
        <v>2352</v>
      </c>
      <c r="D399" s="1">
        <v>2156</v>
      </c>
      <c r="E399" s="1">
        <v>4508</v>
      </c>
      <c r="G399" s="1">
        <v>19500.009999999998</v>
      </c>
      <c r="H399" s="1">
        <v>19600</v>
      </c>
      <c r="I399" s="1">
        <v>784</v>
      </c>
      <c r="J399" s="1">
        <v>0</v>
      </c>
      <c r="K399" s="1">
        <v>784</v>
      </c>
    </row>
    <row r="400" spans="1:11" x14ac:dyDescent="0.25">
      <c r="A400" s="1">
        <v>19600.009999999998</v>
      </c>
      <c r="B400" s="1">
        <v>19700</v>
      </c>
      <c r="C400" s="1">
        <v>2364</v>
      </c>
      <c r="D400" s="1">
        <v>2167</v>
      </c>
      <c r="E400" s="1">
        <v>4531</v>
      </c>
      <c r="G400" s="1">
        <v>19600.009999999998</v>
      </c>
      <c r="H400" s="1">
        <v>19700</v>
      </c>
      <c r="I400" s="1">
        <v>788</v>
      </c>
      <c r="J400" s="1">
        <v>0</v>
      </c>
      <c r="K400" s="1">
        <v>788</v>
      </c>
    </row>
    <row r="401" spans="1:11" x14ac:dyDescent="0.25">
      <c r="A401" s="1">
        <v>19700.009999999998</v>
      </c>
      <c r="B401" s="1">
        <v>19800</v>
      </c>
      <c r="C401" s="1">
        <v>2376</v>
      </c>
      <c r="D401" s="1">
        <v>2178</v>
      </c>
      <c r="E401" s="1">
        <v>4554</v>
      </c>
      <c r="G401" s="1">
        <v>19700.009999999998</v>
      </c>
      <c r="H401" s="1">
        <v>19800</v>
      </c>
      <c r="I401" s="1">
        <v>792</v>
      </c>
      <c r="J401" s="1">
        <v>0</v>
      </c>
      <c r="K401" s="1">
        <v>792</v>
      </c>
    </row>
    <row r="402" spans="1:11" x14ac:dyDescent="0.25">
      <c r="A402" s="1">
        <v>19800.009999999998</v>
      </c>
      <c r="B402" s="1">
        <v>19900</v>
      </c>
      <c r="C402" s="1">
        <v>2388</v>
      </c>
      <c r="D402" s="1">
        <v>2189</v>
      </c>
      <c r="E402" s="1">
        <v>4577</v>
      </c>
      <c r="G402" s="1">
        <v>19800.009999999998</v>
      </c>
      <c r="H402" s="1">
        <v>19900</v>
      </c>
      <c r="I402" s="1">
        <v>796</v>
      </c>
      <c r="J402" s="1">
        <v>0</v>
      </c>
      <c r="K402" s="1">
        <v>796</v>
      </c>
    </row>
    <row r="403" spans="1:11" x14ac:dyDescent="0.25">
      <c r="A403" s="1">
        <v>19900.009999999998</v>
      </c>
      <c r="B403" s="1">
        <v>20000</v>
      </c>
      <c r="C403" s="1">
        <v>2400</v>
      </c>
      <c r="D403" s="1">
        <v>2200</v>
      </c>
      <c r="E403" s="1">
        <v>4600</v>
      </c>
      <c r="G403" s="1">
        <v>19900.009999999998</v>
      </c>
      <c r="H403" s="1">
        <v>20000</v>
      </c>
      <c r="I403" s="1">
        <v>800</v>
      </c>
      <c r="J403" s="1">
        <v>0</v>
      </c>
      <c r="K403" s="1">
        <v>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C68EA-845F-4886-995C-AD2DF12013EC}">
  <sheetPr codeName="Sheet6"/>
  <dimension ref="A1:G4"/>
  <sheetViews>
    <sheetView zoomScale="75" zoomScaleNormal="75" workbookViewId="0">
      <selection activeCell="F45" sqref="F45"/>
    </sheetView>
  </sheetViews>
  <sheetFormatPr defaultRowHeight="15" x14ac:dyDescent="0.25"/>
  <cols>
    <col min="1" max="1" width="10.28515625" bestFit="1" customWidth="1"/>
    <col min="2" max="2" width="10.42578125" bestFit="1" customWidth="1"/>
    <col min="3" max="3" width="9.28515625" bestFit="1" customWidth="1"/>
    <col min="4" max="4" width="21.42578125" bestFit="1" customWidth="1"/>
    <col min="5" max="5" width="14.28515625" bestFit="1" customWidth="1"/>
    <col min="6" max="6" width="18.85546875" bestFit="1" customWidth="1"/>
    <col min="7" max="7" width="14.42578125" bestFit="1" customWidth="1"/>
  </cols>
  <sheetData>
    <row r="1" spans="1:7" x14ac:dyDescent="0.25">
      <c r="A1" t="s">
        <v>101</v>
      </c>
      <c r="B1" t="s">
        <v>102</v>
      </c>
      <c r="C1" t="s">
        <v>103</v>
      </c>
      <c r="D1" t="s">
        <v>104</v>
      </c>
      <c r="E1" t="s">
        <v>91</v>
      </c>
      <c r="F1" t="s">
        <v>105</v>
      </c>
      <c r="G1" t="s">
        <v>106</v>
      </c>
    </row>
    <row r="2" spans="1:7" x14ac:dyDescent="0.25">
      <c r="A2" t="s">
        <v>107</v>
      </c>
      <c r="B2" s="8">
        <v>0.375</v>
      </c>
      <c r="C2" s="8">
        <v>0.75</v>
      </c>
      <c r="D2" t="s">
        <v>56</v>
      </c>
      <c r="E2">
        <v>60</v>
      </c>
      <c r="F2" t="s">
        <v>17</v>
      </c>
      <c r="G2">
        <f>(((C2+(D2="Yes"))-B2)*24)-E2/60</f>
        <v>8</v>
      </c>
    </row>
    <row r="3" spans="1:7" x14ac:dyDescent="0.25">
      <c r="A3" t="s">
        <v>108</v>
      </c>
      <c r="B3" s="8">
        <v>0.83333333333333337</v>
      </c>
      <c r="C3" s="8">
        <v>0.33333333333333331</v>
      </c>
      <c r="D3" t="s">
        <v>17</v>
      </c>
      <c r="E3">
        <v>60</v>
      </c>
      <c r="F3" t="s">
        <v>17</v>
      </c>
      <c r="G3">
        <f>(((C3+(D3="Yes"))-B3)*24)-E3/60</f>
        <v>10.999999999999996</v>
      </c>
    </row>
    <row r="4" spans="1:7" x14ac:dyDescent="0.25">
      <c r="A4" t="s">
        <v>109</v>
      </c>
      <c r="B4" s="8">
        <v>0.33333333333333331</v>
      </c>
      <c r="C4" s="8">
        <v>0.83333333333333337</v>
      </c>
      <c r="D4" t="s">
        <v>56</v>
      </c>
      <c r="E4">
        <v>60</v>
      </c>
      <c r="F4" t="s">
        <v>17</v>
      </c>
      <c r="G4">
        <f>(((C4+(D4="Yes"))-B4)*24)-E4/60</f>
        <v>11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786-7544-4943-96B2-3CE5B60711F8}">
  <sheetPr codeName="Sheet7"/>
  <dimension ref="A1:P3"/>
  <sheetViews>
    <sheetView zoomScale="75" zoomScaleNormal="75" workbookViewId="0">
      <selection activeCell="E37" sqref="E37"/>
    </sheetView>
  </sheetViews>
  <sheetFormatPr defaultRowHeight="15" x14ac:dyDescent="0.25"/>
  <cols>
    <col min="1" max="1" width="7.5703125" bestFit="1" customWidth="1"/>
    <col min="2" max="2" width="11" bestFit="1" customWidth="1"/>
    <col min="3" max="3" width="13.28515625" bestFit="1" customWidth="1"/>
    <col min="4" max="4" width="11.42578125" bestFit="1" customWidth="1"/>
    <col min="5" max="5" width="16.140625" bestFit="1" customWidth="1"/>
    <col min="6" max="6" width="15.42578125" bestFit="1" customWidth="1"/>
    <col min="7" max="7" width="16.28515625" bestFit="1" customWidth="1"/>
    <col min="8" max="8" width="15.42578125" bestFit="1" customWidth="1"/>
    <col min="9" max="9" width="14.42578125" bestFit="1" customWidth="1"/>
    <col min="10" max="10" width="14.85546875" bestFit="1" customWidth="1"/>
    <col min="11" max="11" width="15.42578125" bestFit="1" customWidth="1"/>
    <col min="12" max="12" width="17.42578125" bestFit="1" customWidth="1"/>
    <col min="13" max="13" width="18.85546875" bestFit="1" customWidth="1"/>
    <col min="14" max="14" width="21.7109375" bestFit="1" customWidth="1"/>
    <col min="15" max="15" width="10.42578125" bestFit="1" customWidth="1"/>
    <col min="16" max="16" width="31.42578125" bestFit="1" customWidth="1"/>
  </cols>
  <sheetData>
    <row r="1" spans="1:16" x14ac:dyDescent="0.25">
      <c r="A1" t="s">
        <v>110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</row>
    <row r="2" spans="1:16" x14ac:dyDescent="0.25">
      <c r="A2" t="s">
        <v>126</v>
      </c>
      <c r="B2" t="s">
        <v>127</v>
      </c>
      <c r="C2" t="s">
        <v>128</v>
      </c>
      <c r="D2" t="s">
        <v>129</v>
      </c>
      <c r="E2" t="s">
        <v>56</v>
      </c>
      <c r="F2" t="s">
        <v>56</v>
      </c>
      <c r="G2" t="s">
        <v>56</v>
      </c>
      <c r="H2" t="s">
        <v>56</v>
      </c>
      <c r="I2" t="s">
        <v>56</v>
      </c>
      <c r="J2" t="s">
        <v>17</v>
      </c>
      <c r="K2" t="s">
        <v>17</v>
      </c>
      <c r="L2" t="s">
        <v>107</v>
      </c>
    </row>
    <row r="3" spans="1:16" x14ac:dyDescent="0.25">
      <c r="A3" t="s">
        <v>130</v>
      </c>
      <c r="B3" t="s">
        <v>131</v>
      </c>
      <c r="C3" t="s">
        <v>132</v>
      </c>
      <c r="D3" t="s">
        <v>129</v>
      </c>
      <c r="E3" t="s">
        <v>56</v>
      </c>
      <c r="F3" t="s">
        <v>56</v>
      </c>
      <c r="G3" t="s">
        <v>56</v>
      </c>
      <c r="H3" t="s">
        <v>56</v>
      </c>
      <c r="I3" t="s">
        <v>56</v>
      </c>
      <c r="J3" t="s">
        <v>56</v>
      </c>
      <c r="K3" t="s">
        <v>56</v>
      </c>
      <c r="L3" t="s">
        <v>109</v>
      </c>
      <c r="M3" s="9">
        <v>44196</v>
      </c>
      <c r="N3">
        <v>6</v>
      </c>
      <c r="O3" t="s">
        <v>133</v>
      </c>
      <c r="P3" t="s">
        <v>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8599-AB22-4A8B-A99B-743EA7832E1D}">
  <sheetPr codeName="Sheet8"/>
  <dimension ref="A1:AG3"/>
  <sheetViews>
    <sheetView zoomScale="75" zoomScaleNormal="75" workbookViewId="0">
      <selection activeCell="L27" sqref="L27"/>
    </sheetView>
  </sheetViews>
  <sheetFormatPr defaultRowHeight="15" x14ac:dyDescent="0.25"/>
  <cols>
    <col min="1" max="1" width="10" bestFit="1" customWidth="1"/>
    <col min="2" max="2" width="11.7109375" bestFit="1" customWidth="1"/>
    <col min="3" max="11" width="5.85546875" bestFit="1" customWidth="1"/>
    <col min="12" max="33" width="7" bestFit="1" customWidth="1"/>
  </cols>
  <sheetData>
    <row r="1" spans="1:33" x14ac:dyDescent="0.25">
      <c r="A1" t="s">
        <v>134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  <c r="M1" t="s">
        <v>146</v>
      </c>
      <c r="N1" t="s">
        <v>147</v>
      </c>
      <c r="O1" t="s">
        <v>148</v>
      </c>
      <c r="P1" t="s">
        <v>149</v>
      </c>
      <c r="Q1" t="s">
        <v>150</v>
      </c>
      <c r="R1" t="s">
        <v>151</v>
      </c>
      <c r="S1" t="s">
        <v>152</v>
      </c>
      <c r="T1" t="s">
        <v>153</v>
      </c>
      <c r="U1" t="s">
        <v>154</v>
      </c>
      <c r="V1" t="s">
        <v>155</v>
      </c>
      <c r="W1" t="s">
        <v>156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AD1" t="s">
        <v>163</v>
      </c>
      <c r="AE1" t="s">
        <v>164</v>
      </c>
      <c r="AF1" t="s">
        <v>165</v>
      </c>
      <c r="AG1" t="s">
        <v>166</v>
      </c>
    </row>
    <row r="2" spans="1:33" x14ac:dyDescent="0.25">
      <c r="A2" t="s">
        <v>133</v>
      </c>
      <c r="B2">
        <v>6</v>
      </c>
      <c r="C2" t="s">
        <v>109</v>
      </c>
      <c r="D2" t="s">
        <v>109</v>
      </c>
      <c r="E2" t="s">
        <v>109</v>
      </c>
      <c r="F2" t="s">
        <v>109</v>
      </c>
      <c r="G2" t="s">
        <v>167</v>
      </c>
      <c r="H2" t="s">
        <v>167</v>
      </c>
    </row>
    <row r="3" spans="1:33" x14ac:dyDescent="0.25">
      <c r="A3" t="s">
        <v>168</v>
      </c>
      <c r="B3">
        <v>6</v>
      </c>
      <c r="C3" t="s">
        <v>108</v>
      </c>
      <c r="D3" t="s">
        <v>108</v>
      </c>
      <c r="E3" t="s">
        <v>108</v>
      </c>
      <c r="F3" t="s">
        <v>167</v>
      </c>
      <c r="G3" t="s">
        <v>167</v>
      </c>
      <c r="H3" t="s">
        <v>167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B5A3E-8930-45A9-BD00-95DA19A81FA9}">
  <sheetPr codeName="Sheet9"/>
  <dimension ref="A1:D2"/>
  <sheetViews>
    <sheetView zoomScale="75" zoomScaleNormal="75" workbookViewId="0">
      <selection activeCell="H18" sqref="H18"/>
    </sheetView>
  </sheetViews>
  <sheetFormatPr defaultRowHeight="15" x14ac:dyDescent="0.25"/>
  <cols>
    <col min="1" max="1" width="7.140625" bestFit="1" customWidth="1"/>
    <col min="2" max="2" width="10.85546875" bestFit="1" customWidth="1"/>
    <col min="3" max="3" width="10.7109375" bestFit="1" customWidth="1"/>
    <col min="4" max="4" width="8.7109375" bestFit="1" customWidth="1"/>
  </cols>
  <sheetData>
    <row r="1" spans="1:4" x14ac:dyDescent="0.25">
      <c r="A1" t="s">
        <v>169</v>
      </c>
      <c r="B1" t="s">
        <v>86</v>
      </c>
      <c r="C1" t="s">
        <v>170</v>
      </c>
      <c r="D1" t="s">
        <v>100</v>
      </c>
    </row>
    <row r="2" spans="1:4" x14ac:dyDescent="0.25">
      <c r="A2" t="s">
        <v>171</v>
      </c>
      <c r="B2" s="9">
        <v>44269</v>
      </c>
      <c r="C2" t="s">
        <v>167</v>
      </c>
      <c r="D2" t="s">
        <v>172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19CF-B246-478B-9AA4-632E87BA8DA6}">
  <sheetPr codeName="Sheet10"/>
  <dimension ref="A1:G33"/>
  <sheetViews>
    <sheetView zoomScale="75" zoomScaleNormal="75" workbookViewId="0">
      <selection activeCell="D29" sqref="D29"/>
    </sheetView>
  </sheetViews>
  <sheetFormatPr defaultRowHeight="15" x14ac:dyDescent="0.25"/>
  <cols>
    <col min="1" max="1" width="31.7109375" style="1" bestFit="1" customWidth="1"/>
    <col min="2" max="2" width="8" style="1" bestFit="1" customWidth="1"/>
    <col min="3" max="3" width="29.85546875" style="1" bestFit="1" customWidth="1"/>
    <col min="4" max="4" width="86" style="1" customWidth="1"/>
    <col min="5" max="5" width="31.7109375" style="1" bestFit="1" customWidth="1"/>
    <col min="6" max="6" width="5.28515625" style="11" bestFit="1" customWidth="1"/>
    <col min="7" max="7" width="27.140625" style="1" bestFit="1" customWidth="1"/>
    <col min="8" max="16384" width="9.140625" style="1"/>
  </cols>
  <sheetData>
    <row r="1" spans="1:7" ht="15" customHeight="1" x14ac:dyDescent="0.25">
      <c r="A1" s="34" t="s">
        <v>86</v>
      </c>
      <c r="B1" s="34" t="s">
        <v>87</v>
      </c>
      <c r="C1" s="34" t="s">
        <v>88</v>
      </c>
      <c r="D1" s="34" t="s">
        <v>328</v>
      </c>
      <c r="E1" s="34" t="s">
        <v>329</v>
      </c>
      <c r="F1" s="6" t="s">
        <v>330</v>
      </c>
      <c r="G1" s="6"/>
    </row>
    <row r="2" spans="1:7" x14ac:dyDescent="0.25">
      <c r="A2" s="7">
        <v>44561</v>
      </c>
      <c r="B2" s="1" t="s">
        <v>372</v>
      </c>
      <c r="C2" s="1" t="s">
        <v>373</v>
      </c>
      <c r="D2" s="1" t="s">
        <v>385</v>
      </c>
      <c r="E2" s="63" cm="1">
        <f t="array" ref="E2:E12">IFERROR(
  INDEX($A$2:$A$200,
    MATCH(
      SMALL(
        IF(
          ISNUMBER(MATCH(TRIM(SUBSTITUTE($C$2:$C$200," Holiday","")),$D$2:$D$30,0)),
          MATCH(TRIM(SUBSTITUTE($C$2:$C$200," Holiday","")),$D$2:$D$30,0)*1000000 + $A$2:$A$200,
          ""
        ),
        _xlfn.SEQUENCE(11)
      ),
      IF(
        ISNUMBER(MATCH(TRIM(SUBSTITUTE($C$2:$C$200," Holiday","")),$D$2:$D$30,0)),
        MATCH(TRIM(SUBSTITUTE($C$2:$C$200," Holiday","")),$D$2:$D$30,0)*1000000 + $A$2:$A$200,
        ""
      ),
      0
    )
  ),
"")</f>
        <v>44681</v>
      </c>
      <c r="F2" s="11">
        <v>1</v>
      </c>
    </row>
    <row r="3" spans="1:7" x14ac:dyDescent="0.25">
      <c r="A3" s="7">
        <v>44592</v>
      </c>
      <c r="B3" s="1" t="s">
        <v>374</v>
      </c>
      <c r="C3" s="1" t="s">
        <v>375</v>
      </c>
      <c r="D3" s="1" t="s">
        <v>387</v>
      </c>
      <c r="E3" s="63">
        <v>44712</v>
      </c>
      <c r="F3" s="11">
        <f>1+F2</f>
        <v>2</v>
      </c>
    </row>
    <row r="4" spans="1:7" x14ac:dyDescent="0.25">
      <c r="A4" s="7">
        <v>44593</v>
      </c>
      <c r="B4" s="1" t="s">
        <v>376</v>
      </c>
      <c r="C4" s="1" t="s">
        <v>377</v>
      </c>
      <c r="D4" s="1" t="s">
        <v>390</v>
      </c>
      <c r="E4" s="63">
        <v>44803</v>
      </c>
      <c r="F4" s="11">
        <f t="shared" ref="F4:F12" si="0">1+F3</f>
        <v>3</v>
      </c>
    </row>
    <row r="5" spans="1:7" x14ac:dyDescent="0.25">
      <c r="A5" s="7">
        <v>44608</v>
      </c>
      <c r="B5" s="1" t="s">
        <v>378</v>
      </c>
      <c r="C5" s="1" t="s">
        <v>379</v>
      </c>
      <c r="D5" s="1" t="s">
        <v>391</v>
      </c>
      <c r="E5" s="63">
        <v>44819</v>
      </c>
      <c r="F5" s="11">
        <f t="shared" si="0"/>
        <v>4</v>
      </c>
    </row>
    <row r="6" spans="1:7" x14ac:dyDescent="0.25">
      <c r="A6" s="7">
        <v>44609</v>
      </c>
      <c r="B6" s="1" t="s">
        <v>380</v>
      </c>
      <c r="C6" s="1" t="s">
        <v>381</v>
      </c>
      <c r="D6" s="1" t="s">
        <v>394</v>
      </c>
      <c r="E6" s="63">
        <v>44905</v>
      </c>
      <c r="F6" s="11">
        <f t="shared" si="0"/>
        <v>5</v>
      </c>
    </row>
    <row r="7" spans="1:7" x14ac:dyDescent="0.25">
      <c r="A7" s="7">
        <v>44626</v>
      </c>
      <c r="B7" s="1" t="s">
        <v>382</v>
      </c>
      <c r="C7" s="1" t="s">
        <v>383</v>
      </c>
      <c r="D7" s="1" t="s">
        <v>83</v>
      </c>
      <c r="E7" s="63">
        <v>44640</v>
      </c>
      <c r="F7" s="11">
        <f t="shared" si="0"/>
        <v>6</v>
      </c>
    </row>
    <row r="8" spans="1:7" x14ac:dyDescent="0.25">
      <c r="A8" s="7">
        <v>44640</v>
      </c>
      <c r="B8" s="1" t="s">
        <v>382</v>
      </c>
      <c r="C8" s="1" t="s">
        <v>83</v>
      </c>
      <c r="D8" s="1" t="s">
        <v>84</v>
      </c>
      <c r="E8" s="63">
        <v>44641</v>
      </c>
      <c r="F8" s="11">
        <f t="shared" si="0"/>
        <v>7</v>
      </c>
    </row>
    <row r="9" spans="1:7" x14ac:dyDescent="0.25">
      <c r="A9" s="7">
        <v>44641</v>
      </c>
      <c r="B9" s="1" t="s">
        <v>374</v>
      </c>
      <c r="C9" s="1" t="s">
        <v>83</v>
      </c>
      <c r="D9" s="1" t="s">
        <v>85</v>
      </c>
      <c r="E9" s="63">
        <v>44642</v>
      </c>
      <c r="F9" s="11">
        <f t="shared" si="0"/>
        <v>8</v>
      </c>
    </row>
    <row r="10" spans="1:7" x14ac:dyDescent="0.25">
      <c r="A10" s="7">
        <v>44642</v>
      </c>
      <c r="B10" s="1" t="s">
        <v>376</v>
      </c>
      <c r="C10" s="1" t="s">
        <v>83</v>
      </c>
      <c r="D10" s="1" t="s">
        <v>389</v>
      </c>
      <c r="E10" s="63">
        <v>44707</v>
      </c>
      <c r="F10" s="11">
        <f t="shared" si="0"/>
        <v>9</v>
      </c>
    </row>
    <row r="11" spans="1:7" x14ac:dyDescent="0.25">
      <c r="A11" s="7">
        <v>44681</v>
      </c>
      <c r="B11" s="1" t="s">
        <v>384</v>
      </c>
      <c r="C11" s="1" t="s">
        <v>385</v>
      </c>
      <c r="D11" s="1" t="s">
        <v>383</v>
      </c>
      <c r="E11" s="63">
        <v>44728</v>
      </c>
      <c r="F11" s="11">
        <f t="shared" si="0"/>
        <v>10</v>
      </c>
    </row>
    <row r="12" spans="1:7" x14ac:dyDescent="0.25">
      <c r="A12" s="7">
        <v>44707</v>
      </c>
      <c r="B12" s="1" t="s">
        <v>380</v>
      </c>
      <c r="C12" s="1" t="s">
        <v>84</v>
      </c>
      <c r="E12" s="63">
        <v>44797</v>
      </c>
      <c r="F12" s="11">
        <f t="shared" si="0"/>
        <v>11</v>
      </c>
    </row>
    <row r="13" spans="1:7" x14ac:dyDescent="0.25">
      <c r="A13" s="7">
        <v>44711</v>
      </c>
      <c r="B13" s="1" t="s">
        <v>374</v>
      </c>
      <c r="C13" s="1" t="s">
        <v>386</v>
      </c>
    </row>
    <row r="14" spans="1:7" x14ac:dyDescent="0.25">
      <c r="A14" s="7">
        <v>44712</v>
      </c>
      <c r="B14" s="1" t="s">
        <v>376</v>
      </c>
      <c r="C14" s="1" t="s">
        <v>387</v>
      </c>
    </row>
    <row r="15" spans="1:7" x14ac:dyDescent="0.25">
      <c r="A15" s="7">
        <v>44712</v>
      </c>
      <c r="B15" s="1" t="s">
        <v>376</v>
      </c>
      <c r="C15" s="1" t="s">
        <v>388</v>
      </c>
    </row>
    <row r="16" spans="1:7" x14ac:dyDescent="0.25">
      <c r="A16" s="7">
        <v>44728</v>
      </c>
      <c r="B16" s="1" t="s">
        <v>380</v>
      </c>
      <c r="C16" s="1" t="s">
        <v>85</v>
      </c>
    </row>
    <row r="17" spans="1:3" x14ac:dyDescent="0.25">
      <c r="A17" s="7">
        <v>44797</v>
      </c>
      <c r="B17" s="1" t="s">
        <v>378</v>
      </c>
      <c r="C17" s="1" t="s">
        <v>389</v>
      </c>
    </row>
    <row r="18" spans="1:3" x14ac:dyDescent="0.25">
      <c r="A18" s="7">
        <v>44803</v>
      </c>
      <c r="B18" s="1" t="s">
        <v>376</v>
      </c>
      <c r="C18" s="1" t="s">
        <v>390</v>
      </c>
    </row>
    <row r="19" spans="1:3" x14ac:dyDescent="0.25">
      <c r="A19" s="7">
        <v>44819</v>
      </c>
      <c r="B19" s="1" t="s">
        <v>380</v>
      </c>
      <c r="C19" s="1" t="s">
        <v>391</v>
      </c>
    </row>
    <row r="20" spans="1:3" x14ac:dyDescent="0.25">
      <c r="A20" s="7">
        <v>44872</v>
      </c>
      <c r="B20" s="1" t="s">
        <v>374</v>
      </c>
      <c r="C20" s="1" t="s">
        <v>392</v>
      </c>
    </row>
    <row r="21" spans="1:3" x14ac:dyDescent="0.25">
      <c r="A21" s="7">
        <v>44873</v>
      </c>
      <c r="B21" s="1" t="s">
        <v>376</v>
      </c>
      <c r="C21" s="1" t="s">
        <v>393</v>
      </c>
    </row>
    <row r="22" spans="1:3" x14ac:dyDescent="0.25">
      <c r="A22" s="7">
        <v>44905</v>
      </c>
      <c r="B22" s="1" t="s">
        <v>384</v>
      </c>
      <c r="C22" s="1" t="s">
        <v>394</v>
      </c>
    </row>
    <row r="23" spans="1:3" x14ac:dyDescent="0.25">
      <c r="A23" s="7">
        <v>44919</v>
      </c>
      <c r="B23" s="1" t="s">
        <v>384</v>
      </c>
      <c r="C23" s="1" t="s">
        <v>395</v>
      </c>
    </row>
    <row r="24" spans="1:3" x14ac:dyDescent="0.25">
      <c r="A24" s="7"/>
    </row>
    <row r="25" spans="1:3" x14ac:dyDescent="0.25">
      <c r="A25" s="7"/>
    </row>
    <row r="26" spans="1:3" x14ac:dyDescent="0.25">
      <c r="A26" s="7"/>
    </row>
    <row r="27" spans="1:3" x14ac:dyDescent="0.25">
      <c r="A27" s="7"/>
    </row>
    <row r="28" spans="1:3" x14ac:dyDescent="0.25">
      <c r="A28" s="7"/>
    </row>
    <row r="29" spans="1:3" x14ac:dyDescent="0.25">
      <c r="A29" s="7"/>
    </row>
    <row r="30" spans="1:3" x14ac:dyDescent="0.25">
      <c r="A30" s="7"/>
    </row>
    <row r="33" spans="4:4" x14ac:dyDescent="0.25">
      <c r="D33" s="5" t="s">
        <v>89</v>
      </c>
    </row>
  </sheetData>
  <dataValidations count="1">
    <dataValidation type="custom" allowBlank="1" showInputMessage="1" showErrorMessage="1" sqref="D13:D22 D7:D11" xr:uid="{22AA9489-DC5E-4F66-8086-5E7010A48497}">
      <formula1>COUNTA($E$2:$E$200)&lt;=11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YearSummary</vt:lpstr>
      <vt:lpstr>companysettings</vt:lpstr>
      <vt:lpstr>staffsettings</vt:lpstr>
      <vt:lpstr>perkeso</vt:lpstr>
      <vt:lpstr>kwsp</vt:lpstr>
      <vt:lpstr>shifts</vt:lpstr>
      <vt:lpstr>settingsarchive</vt:lpstr>
      <vt:lpstr>rosterpatterns</vt:lpstr>
      <vt:lpstr>rosteroverrides</vt:lpstr>
      <vt:lpstr>holidays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2025-11-11T11:33:50Z</cp:lastPrinted>
  <dcterms:created xsi:type="dcterms:W3CDTF">2006-09-16T00:00:00Z</dcterms:created>
  <dcterms:modified xsi:type="dcterms:W3CDTF">2026-02-07T15:21:44Z</dcterms:modified>
</cp:coreProperties>
</file>